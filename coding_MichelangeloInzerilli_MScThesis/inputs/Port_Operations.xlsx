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ichelangeloinze/Desktop/Master_Thesis/coding/inputs/"/>
    </mc:Choice>
  </mc:AlternateContent>
  <xr:revisionPtr revIDLastSave="0" documentId="8_{91D83943-2806-ED4A-92C9-F329B03262F3}" xr6:coauthVersionLast="47" xr6:coauthVersionMax="47" xr10:uidLastSave="{00000000-0000-0000-0000-000000000000}"/>
  <bookViews>
    <workbookView xWindow="4100" yWindow="22260" windowWidth="30240" windowHeight="17720" xr2:uid="{8736CCBC-3AF7-4448-BD0D-29A03CE6E61F}"/>
  </bookViews>
  <sheets>
    <sheet name="EV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H2" i="1"/>
  <c r="G5" i="1"/>
  <c r="G4" i="1"/>
  <c r="G3" i="1"/>
  <c r="G2" i="1"/>
</calcChain>
</file>

<file path=xl/sharedStrings.xml><?xml version="1.0" encoding="utf-8"?>
<sst xmlns="http://schemas.openxmlformats.org/spreadsheetml/2006/main" count="105" uniqueCount="51">
  <si>
    <t>Model</t>
  </si>
  <si>
    <t>Total working hours</t>
  </si>
  <si>
    <t>Merlinum EA 6-600 </t>
  </si>
  <si>
    <t>Forklift</t>
  </si>
  <si>
    <t>ID</t>
  </si>
  <si>
    <t>Truck 417 </t>
  </si>
  <si>
    <t>Working duration capacity (hours)</t>
  </si>
  <si>
    <t>Truck 420 </t>
  </si>
  <si>
    <t>Category</t>
  </si>
  <si>
    <t>SMV 16 Ever </t>
  </si>
  <si>
    <t>Average Discharge Rate (kWh per hour)</t>
  </si>
  <si>
    <t>Volvo L120H </t>
  </si>
  <si>
    <t>Loader</t>
  </si>
  <si>
    <t>Battery Capacity (kWh)</t>
  </si>
  <si>
    <t>Fast Charge Capacity (kW)</t>
  </si>
  <si>
    <t>Reach Stacker</t>
  </si>
  <si>
    <t>Terminal Mover</t>
  </si>
  <si>
    <t>SMV 46/32 E-ver</t>
  </si>
  <si>
    <t>ERG450-65CS </t>
  </si>
  <si>
    <t>Terberg RT 223 EL.</t>
  </si>
  <si>
    <t>Truck 405</t>
  </si>
  <si>
    <t>Truck 413</t>
  </si>
  <si>
    <t>Truck 402</t>
  </si>
  <si>
    <t>Requires charging during operation</t>
  </si>
  <si>
    <t>Truck 422 </t>
  </si>
  <si>
    <t>Truck 423 </t>
  </si>
  <si>
    <t>Truck 424</t>
  </si>
  <si>
    <t>Truck 425</t>
  </si>
  <si>
    <t>Truck 426</t>
  </si>
  <si>
    <t>Truck 427</t>
  </si>
  <si>
    <t>Truck 428</t>
  </si>
  <si>
    <t>Truck 429 </t>
  </si>
  <si>
    <t>Truck 421 </t>
  </si>
  <si>
    <t>Lastmaskin 430</t>
  </si>
  <si>
    <t>Lastmaskin 431</t>
  </si>
  <si>
    <t>Lastmaskin 432</t>
  </si>
  <si>
    <t>Lastmaskin 433</t>
  </si>
  <si>
    <t>Lastmaskin 435</t>
  </si>
  <si>
    <t>Lastmaskin 437</t>
  </si>
  <si>
    <t>Lastmaskin 439</t>
  </si>
  <si>
    <t>Lastmaskin 438</t>
  </si>
  <si>
    <t>Lastmaskin 436</t>
  </si>
  <si>
    <t>Truck 442</t>
  </si>
  <si>
    <t>Truck 443</t>
  </si>
  <si>
    <t>Truck 444 Krokmaskin</t>
  </si>
  <si>
    <t>Term.drag 469</t>
  </si>
  <si>
    <t>Term.drag 470</t>
  </si>
  <si>
    <t>Term.drag 471</t>
  </si>
  <si>
    <t>Term.drag 472</t>
  </si>
  <si>
    <t>Term.drag 475</t>
  </si>
  <si>
    <t>Term.drag 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</si>
</sst>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3"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Georg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4BD690-359D-5847-A3DC-848F79871059}" name="Table2" displayName="Table2" ref="A1:I33" totalsRowShown="0">
  <autoFilter ref="A1:I33" xr:uid="{AA4BD690-359D-5847-A3DC-848F79871059}"/>
  <tableColumns count="9">
    <tableColumn id="1" xr3:uid="{0B05DCF8-C707-6246-913D-ECDEA9D31140}" name="ID"/>
    <tableColumn id="2" xr3:uid="{A5971A96-AC6D-9948-8FA9-5604FA132A6D}" name="Category"/>
    <tableColumn id="3" xr3:uid="{E3CA0FE9-9A9B-CC4A-BBAE-5FA48AE450C7}" name="Model" dataDxfId="2"/>
    <tableColumn id="4" xr3:uid="{6CE80EE7-3332-FD4F-8516-6171A1C643A3}" name="Total working hours"/>
    <tableColumn id="5" xr3:uid="{BCAE2ABA-CF1B-DA4B-A113-FBE6D3329AB4}" name="Battery Capacity (kWh)"/>
    <tableColumn id="6" xr3:uid="{3660E768-2010-6040-A44E-05B890572CB1}" name="Average Discharge Rate (kWh per hour)"/>
    <tableColumn id="7" xr3:uid="{EBB29275-62A3-884D-BCAD-1F360A9BE23B}" name="Working duration capacity (hours)" dataDxfId="1"/>
    <tableColumn id="8" xr3:uid="{93CB9174-1687-694B-9332-3BF31728A680}" name="Requires charging during operation" dataDxfId="0">
      <calculatedColumnFormula>IF((D2*F2)&gt;E2, "yes", "no")</calculatedColumnFormula>
    </tableColumn>
    <tableColumn id="9" xr3:uid="{E7D9DED2-E01C-8D4C-99FB-42859DFDB79D}" name="Fast Charge Capacity (kW)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C55E-E3AE-CC44-ACA7-314F89281FD0}">
  <dimension ref="A1:I41"/>
  <sheetViews>
    <sheetView tabSelected="1" zoomScaleNormal="90" workbookViewId="0">
      <selection activeCell="I27" sqref="I27"/>
    </sheetView>
  </sheetViews>
  <sheetFormatPr baseColWidth="10" defaultRowHeight="16" x14ac:dyDescent="0.2"/>
  <cols>
    <col min="1" max="1" width="19.6640625" bestFit="1" customWidth="1"/>
    <col min="2" max="2" width="13.5" bestFit="1" customWidth="1"/>
    <col min="3" max="3" width="20.1640625" bestFit="1" customWidth="1"/>
    <col min="4" max="4" width="20.1640625" customWidth="1"/>
    <col min="5" max="5" width="22.83203125" customWidth="1"/>
    <col min="6" max="6" width="36.5" customWidth="1"/>
    <col min="7" max="7" width="32.1640625" style="2" customWidth="1"/>
    <col min="8" max="8" width="33.6640625" style="2" customWidth="1"/>
    <col min="9" max="9" width="25.33203125" customWidth="1"/>
  </cols>
  <sheetData>
    <row r="1" spans="1:9" x14ac:dyDescent="0.2">
      <c r="A1" t="s">
        <v>4</v>
      </c>
      <c r="B1" t="s">
        <v>8</v>
      </c>
      <c r="C1" t="s">
        <v>0</v>
      </c>
      <c r="D1" t="s">
        <v>1</v>
      </c>
      <c r="E1" t="s">
        <v>13</v>
      </c>
      <c r="F1" t="s">
        <v>10</v>
      </c>
      <c r="G1" t="s">
        <v>6</v>
      </c>
      <c r="H1" t="s">
        <v>23</v>
      </c>
      <c r="I1" t="s">
        <v>14</v>
      </c>
    </row>
    <row r="2" spans="1:9" x14ac:dyDescent="0.2">
      <c r="A2" s="1" t="s">
        <v>5</v>
      </c>
      <c r="B2" s="1" t="s">
        <v>3</v>
      </c>
      <c r="C2" s="1" t="s">
        <v>2</v>
      </c>
      <c r="D2">
        <v>2</v>
      </c>
      <c r="E2">
        <v>64</v>
      </c>
      <c r="F2">
        <v>14</v>
      </c>
      <c r="G2" s="2">
        <f>E2/F2</f>
        <v>4.5714285714285712</v>
      </c>
      <c r="H2" s="2" t="str">
        <f>IF((D2*F2)&gt;E2, "yes", "no")</f>
        <v>no</v>
      </c>
      <c r="I2">
        <v>128</v>
      </c>
    </row>
    <row r="3" spans="1:9" x14ac:dyDescent="0.2">
      <c r="A3" s="1" t="s">
        <v>20</v>
      </c>
      <c r="B3" s="1" t="s">
        <v>3</v>
      </c>
      <c r="C3" s="1" t="s">
        <v>2</v>
      </c>
      <c r="D3">
        <v>8</v>
      </c>
      <c r="E3">
        <v>64</v>
      </c>
      <c r="F3">
        <v>14</v>
      </c>
      <c r="G3" s="2">
        <f t="shared" ref="G3:G33" si="0">E3/F3</f>
        <v>4.5714285714285712</v>
      </c>
      <c r="H3" s="2" t="str">
        <f t="shared" ref="H3:H33" si="1">IF((D3*F3)&gt;E3, "yes", "no")</f>
        <v>yes</v>
      </c>
      <c r="I3">
        <v>128</v>
      </c>
    </row>
    <row r="4" spans="1:9" x14ac:dyDescent="0.2">
      <c r="A4" s="1" t="s">
        <v>21</v>
      </c>
      <c r="B4" s="1" t="s">
        <v>3</v>
      </c>
      <c r="C4" s="1" t="s">
        <v>2</v>
      </c>
      <c r="D4">
        <v>4</v>
      </c>
      <c r="E4">
        <v>64</v>
      </c>
      <c r="F4">
        <v>14</v>
      </c>
      <c r="G4" s="2">
        <f t="shared" si="0"/>
        <v>4.5714285714285712</v>
      </c>
      <c r="H4" s="2" t="str">
        <f t="shared" si="1"/>
        <v>no</v>
      </c>
      <c r="I4">
        <v>128</v>
      </c>
    </row>
    <row r="5" spans="1:9" x14ac:dyDescent="0.2">
      <c r="A5" s="1" t="s">
        <v>22</v>
      </c>
      <c r="B5" s="1" t="s">
        <v>3</v>
      </c>
      <c r="C5" s="1" t="s">
        <v>2</v>
      </c>
      <c r="D5">
        <v>2</v>
      </c>
      <c r="E5">
        <v>64</v>
      </c>
      <c r="F5">
        <v>14</v>
      </c>
      <c r="G5" s="2">
        <f t="shared" si="0"/>
        <v>4.5714285714285712</v>
      </c>
      <c r="H5" s="2" t="str">
        <f t="shared" si="1"/>
        <v>no</v>
      </c>
      <c r="I5">
        <v>128</v>
      </c>
    </row>
    <row r="6" spans="1:9" x14ac:dyDescent="0.2">
      <c r="A6" s="1" t="s">
        <v>7</v>
      </c>
      <c r="B6" t="s">
        <v>3</v>
      </c>
      <c r="C6" s="1" t="s">
        <v>9</v>
      </c>
      <c r="D6">
        <v>11</v>
      </c>
      <c r="E6">
        <v>110</v>
      </c>
      <c r="F6">
        <v>20</v>
      </c>
      <c r="G6" s="2">
        <f t="shared" si="0"/>
        <v>5.5</v>
      </c>
      <c r="H6" s="2" t="str">
        <f t="shared" si="1"/>
        <v>yes</v>
      </c>
      <c r="I6">
        <v>147</v>
      </c>
    </row>
    <row r="7" spans="1:9" x14ac:dyDescent="0.2">
      <c r="A7" s="1" t="s">
        <v>24</v>
      </c>
      <c r="B7" t="s">
        <v>3</v>
      </c>
      <c r="C7" s="1" t="s">
        <v>9</v>
      </c>
      <c r="D7">
        <v>11</v>
      </c>
      <c r="E7">
        <v>110</v>
      </c>
      <c r="F7">
        <v>20</v>
      </c>
      <c r="G7" s="2">
        <f t="shared" si="0"/>
        <v>5.5</v>
      </c>
      <c r="H7" s="2" t="str">
        <f t="shared" si="1"/>
        <v>yes</v>
      </c>
      <c r="I7">
        <v>147</v>
      </c>
    </row>
    <row r="8" spans="1:9" x14ac:dyDescent="0.2">
      <c r="A8" s="1" t="s">
        <v>25</v>
      </c>
      <c r="B8" t="s">
        <v>3</v>
      </c>
      <c r="C8" s="1" t="s">
        <v>9</v>
      </c>
      <c r="D8">
        <v>11</v>
      </c>
      <c r="E8">
        <v>110</v>
      </c>
      <c r="F8">
        <v>20</v>
      </c>
      <c r="G8" s="2">
        <f t="shared" si="0"/>
        <v>5.5</v>
      </c>
      <c r="H8" s="2" t="str">
        <f t="shared" si="1"/>
        <v>yes</v>
      </c>
      <c r="I8">
        <v>147</v>
      </c>
    </row>
    <row r="9" spans="1:9" x14ac:dyDescent="0.2">
      <c r="A9" s="1" t="s">
        <v>26</v>
      </c>
      <c r="B9" t="s">
        <v>3</v>
      </c>
      <c r="C9" s="1" t="s">
        <v>9</v>
      </c>
      <c r="D9">
        <v>11</v>
      </c>
      <c r="E9">
        <v>110</v>
      </c>
      <c r="F9">
        <v>20</v>
      </c>
      <c r="G9" s="2">
        <f t="shared" si="0"/>
        <v>5.5</v>
      </c>
      <c r="H9" s="2" t="str">
        <f t="shared" si="1"/>
        <v>yes</v>
      </c>
      <c r="I9">
        <v>147</v>
      </c>
    </row>
    <row r="10" spans="1:9" x14ac:dyDescent="0.2">
      <c r="A10" s="1" t="s">
        <v>27</v>
      </c>
      <c r="B10" t="s">
        <v>3</v>
      </c>
      <c r="C10" s="1" t="s">
        <v>9</v>
      </c>
      <c r="D10">
        <v>11</v>
      </c>
      <c r="E10">
        <v>110</v>
      </c>
      <c r="F10">
        <v>20</v>
      </c>
      <c r="G10" s="2">
        <f t="shared" si="0"/>
        <v>5.5</v>
      </c>
      <c r="H10" s="2" t="str">
        <f t="shared" si="1"/>
        <v>yes</v>
      </c>
      <c r="I10">
        <v>147</v>
      </c>
    </row>
    <row r="11" spans="1:9" x14ac:dyDescent="0.2">
      <c r="A11" s="1" t="s">
        <v>28</v>
      </c>
      <c r="B11" t="s">
        <v>3</v>
      </c>
      <c r="C11" s="1" t="s">
        <v>9</v>
      </c>
      <c r="D11">
        <v>11</v>
      </c>
      <c r="E11">
        <v>110</v>
      </c>
      <c r="F11">
        <v>20</v>
      </c>
      <c r="G11" s="2">
        <f t="shared" si="0"/>
        <v>5.5</v>
      </c>
      <c r="H11" s="2" t="str">
        <f t="shared" si="1"/>
        <v>yes</v>
      </c>
      <c r="I11">
        <v>147</v>
      </c>
    </row>
    <row r="12" spans="1:9" x14ac:dyDescent="0.2">
      <c r="A12" s="1" t="s">
        <v>29</v>
      </c>
      <c r="B12" t="s">
        <v>3</v>
      </c>
      <c r="C12" s="1" t="s">
        <v>9</v>
      </c>
      <c r="D12">
        <v>11</v>
      </c>
      <c r="E12">
        <v>110</v>
      </c>
      <c r="F12">
        <v>20</v>
      </c>
      <c r="G12" s="2">
        <f t="shared" si="0"/>
        <v>5.5</v>
      </c>
      <c r="H12" s="2" t="str">
        <f t="shared" si="1"/>
        <v>yes</v>
      </c>
      <c r="I12">
        <v>147</v>
      </c>
    </row>
    <row r="13" spans="1:9" x14ac:dyDescent="0.2">
      <c r="A13" s="1" t="s">
        <v>30</v>
      </c>
      <c r="B13" t="s">
        <v>3</v>
      </c>
      <c r="C13" s="1" t="s">
        <v>9</v>
      </c>
      <c r="D13">
        <v>11</v>
      </c>
      <c r="E13">
        <v>110</v>
      </c>
      <c r="F13">
        <v>20</v>
      </c>
      <c r="G13" s="2">
        <f t="shared" si="0"/>
        <v>5.5</v>
      </c>
      <c r="H13" s="2" t="str">
        <f t="shared" si="1"/>
        <v>yes</v>
      </c>
      <c r="I13">
        <v>147</v>
      </c>
    </row>
    <row r="14" spans="1:9" x14ac:dyDescent="0.2">
      <c r="A14" s="1" t="s">
        <v>31</v>
      </c>
      <c r="B14" t="s">
        <v>3</v>
      </c>
      <c r="C14" s="1" t="s">
        <v>9</v>
      </c>
      <c r="D14">
        <v>11</v>
      </c>
      <c r="E14">
        <v>110</v>
      </c>
      <c r="F14">
        <v>20</v>
      </c>
      <c r="G14" s="2">
        <f t="shared" si="0"/>
        <v>5.5</v>
      </c>
      <c r="H14" s="2" t="str">
        <f t="shared" si="1"/>
        <v>yes</v>
      </c>
      <c r="I14">
        <v>147</v>
      </c>
    </row>
    <row r="15" spans="1:9" x14ac:dyDescent="0.2">
      <c r="A15" s="1" t="s">
        <v>32</v>
      </c>
      <c r="B15" t="s">
        <v>3</v>
      </c>
      <c r="C15" s="1" t="s">
        <v>9</v>
      </c>
      <c r="D15">
        <v>11</v>
      </c>
      <c r="E15">
        <v>110</v>
      </c>
      <c r="F15">
        <v>20</v>
      </c>
      <c r="G15" s="2">
        <f t="shared" si="0"/>
        <v>5.5</v>
      </c>
      <c r="H15" s="2" t="str">
        <f t="shared" si="1"/>
        <v>yes</v>
      </c>
      <c r="I15">
        <v>147</v>
      </c>
    </row>
    <row r="16" spans="1:9" x14ac:dyDescent="0.2">
      <c r="A16" s="1" t="s">
        <v>33</v>
      </c>
      <c r="B16" t="s">
        <v>12</v>
      </c>
      <c r="C16" s="1" t="s">
        <v>11</v>
      </c>
      <c r="D16">
        <v>4</v>
      </c>
      <c r="E16">
        <v>237</v>
      </c>
      <c r="F16">
        <v>47.5</v>
      </c>
      <c r="G16" s="2">
        <f t="shared" si="0"/>
        <v>4.9894736842105267</v>
      </c>
      <c r="H16" s="2" t="str">
        <f t="shared" si="1"/>
        <v>no</v>
      </c>
      <c r="I16">
        <v>158</v>
      </c>
    </row>
    <row r="17" spans="1:9" x14ac:dyDescent="0.2">
      <c r="A17" t="s">
        <v>34</v>
      </c>
      <c r="B17" t="s">
        <v>12</v>
      </c>
      <c r="C17" s="1" t="s">
        <v>11</v>
      </c>
      <c r="D17">
        <v>4</v>
      </c>
      <c r="E17">
        <v>237</v>
      </c>
      <c r="F17">
        <v>47.5</v>
      </c>
      <c r="G17" s="2">
        <f t="shared" si="0"/>
        <v>4.9894736842105267</v>
      </c>
      <c r="H17" s="2" t="str">
        <f t="shared" si="1"/>
        <v>no</v>
      </c>
      <c r="I17">
        <v>158</v>
      </c>
    </row>
    <row r="18" spans="1:9" x14ac:dyDescent="0.2">
      <c r="A18" t="s">
        <v>35</v>
      </c>
      <c r="B18" t="s">
        <v>12</v>
      </c>
      <c r="C18" s="1" t="s">
        <v>11</v>
      </c>
      <c r="D18">
        <v>4</v>
      </c>
      <c r="E18">
        <v>237</v>
      </c>
      <c r="F18">
        <v>47.5</v>
      </c>
      <c r="G18" s="2">
        <f t="shared" si="0"/>
        <v>4.9894736842105267</v>
      </c>
      <c r="H18" s="2" t="str">
        <f t="shared" si="1"/>
        <v>no</v>
      </c>
      <c r="I18">
        <v>158</v>
      </c>
    </row>
    <row r="19" spans="1:9" x14ac:dyDescent="0.2">
      <c r="A19" t="s">
        <v>37</v>
      </c>
      <c r="B19" t="s">
        <v>12</v>
      </c>
      <c r="C19" s="1" t="s">
        <v>11</v>
      </c>
      <c r="D19">
        <v>4</v>
      </c>
      <c r="E19">
        <v>237</v>
      </c>
      <c r="F19">
        <v>47.5</v>
      </c>
      <c r="G19" s="2">
        <f t="shared" si="0"/>
        <v>4.9894736842105267</v>
      </c>
      <c r="H19" s="2" t="str">
        <f t="shared" si="1"/>
        <v>no</v>
      </c>
      <c r="I19">
        <v>158</v>
      </c>
    </row>
    <row r="20" spans="1:9" x14ac:dyDescent="0.2">
      <c r="A20" t="s">
        <v>38</v>
      </c>
      <c r="B20" t="s">
        <v>12</v>
      </c>
      <c r="C20" s="1" t="s">
        <v>11</v>
      </c>
      <c r="D20">
        <v>8</v>
      </c>
      <c r="E20">
        <v>237</v>
      </c>
      <c r="F20">
        <v>47.5</v>
      </c>
      <c r="G20" s="2">
        <f t="shared" si="0"/>
        <v>4.9894736842105267</v>
      </c>
      <c r="H20" s="2" t="str">
        <f t="shared" si="1"/>
        <v>yes</v>
      </c>
      <c r="I20">
        <v>158</v>
      </c>
    </row>
    <row r="21" spans="1:9" x14ac:dyDescent="0.2">
      <c r="A21" t="s">
        <v>39</v>
      </c>
      <c r="B21" t="s">
        <v>12</v>
      </c>
      <c r="C21" s="1" t="s">
        <v>11</v>
      </c>
      <c r="D21">
        <v>2</v>
      </c>
      <c r="E21">
        <v>237</v>
      </c>
      <c r="F21">
        <v>47.5</v>
      </c>
      <c r="G21" s="2">
        <f t="shared" si="0"/>
        <v>4.9894736842105267</v>
      </c>
      <c r="H21" s="2" t="str">
        <f t="shared" si="1"/>
        <v>no</v>
      </c>
      <c r="I21">
        <v>158</v>
      </c>
    </row>
    <row r="22" spans="1:9" x14ac:dyDescent="0.2">
      <c r="A22" t="s">
        <v>40</v>
      </c>
      <c r="B22" t="s">
        <v>12</v>
      </c>
      <c r="C22" s="1" t="s">
        <v>11</v>
      </c>
      <c r="D22">
        <v>11</v>
      </c>
      <c r="E22">
        <v>237</v>
      </c>
      <c r="F22">
        <v>47.5</v>
      </c>
      <c r="G22" s="2">
        <f t="shared" si="0"/>
        <v>4.9894736842105267</v>
      </c>
      <c r="H22" s="2" t="str">
        <f t="shared" si="1"/>
        <v>yes</v>
      </c>
      <c r="I22">
        <v>158</v>
      </c>
    </row>
    <row r="23" spans="1:9" x14ac:dyDescent="0.2">
      <c r="A23" t="s">
        <v>36</v>
      </c>
      <c r="B23" t="s">
        <v>12</v>
      </c>
      <c r="C23" s="1" t="s">
        <v>11</v>
      </c>
      <c r="D23">
        <v>11</v>
      </c>
      <c r="E23">
        <v>237</v>
      </c>
      <c r="F23">
        <v>47.5</v>
      </c>
      <c r="G23" s="2">
        <f t="shared" si="0"/>
        <v>4.9894736842105267</v>
      </c>
      <c r="H23" s="2" t="str">
        <f t="shared" si="1"/>
        <v>yes</v>
      </c>
      <c r="I23">
        <v>158</v>
      </c>
    </row>
    <row r="24" spans="1:9" x14ac:dyDescent="0.2">
      <c r="A24" t="s">
        <v>41</v>
      </c>
      <c r="B24" t="s">
        <v>12</v>
      </c>
      <c r="C24" s="1" t="s">
        <v>11</v>
      </c>
      <c r="D24">
        <v>3</v>
      </c>
      <c r="E24">
        <v>237</v>
      </c>
      <c r="F24">
        <v>47.5</v>
      </c>
      <c r="G24" s="2">
        <f t="shared" si="0"/>
        <v>4.9894736842105267</v>
      </c>
      <c r="H24" s="2" t="str">
        <f t="shared" si="1"/>
        <v>no</v>
      </c>
      <c r="I24">
        <v>158</v>
      </c>
    </row>
    <row r="25" spans="1:9" x14ac:dyDescent="0.2">
      <c r="A25" s="1" t="s">
        <v>42</v>
      </c>
      <c r="B25" t="s">
        <v>15</v>
      </c>
      <c r="C25" s="1" t="s">
        <v>17</v>
      </c>
      <c r="D25">
        <v>4</v>
      </c>
      <c r="E25">
        <v>276</v>
      </c>
      <c r="F25">
        <v>50</v>
      </c>
      <c r="G25" s="2">
        <f t="shared" si="0"/>
        <v>5.52</v>
      </c>
      <c r="H25" s="2" t="str">
        <f t="shared" si="1"/>
        <v>no</v>
      </c>
      <c r="I25">
        <v>276</v>
      </c>
    </row>
    <row r="26" spans="1:9" x14ac:dyDescent="0.2">
      <c r="A26" s="1" t="s">
        <v>43</v>
      </c>
      <c r="B26" t="s">
        <v>15</v>
      </c>
      <c r="C26" s="1" t="s">
        <v>17</v>
      </c>
      <c r="D26">
        <v>4</v>
      </c>
      <c r="E26">
        <v>276</v>
      </c>
      <c r="F26">
        <v>50</v>
      </c>
      <c r="G26" s="2">
        <f t="shared" si="0"/>
        <v>5.52</v>
      </c>
      <c r="H26" s="2" t="str">
        <f t="shared" si="1"/>
        <v>no</v>
      </c>
      <c r="I26">
        <v>276</v>
      </c>
    </row>
    <row r="27" spans="1:9" x14ac:dyDescent="0.2">
      <c r="A27" t="s">
        <v>44</v>
      </c>
      <c r="B27" t="s">
        <v>15</v>
      </c>
      <c r="C27" s="1" t="s">
        <v>18</v>
      </c>
      <c r="D27">
        <v>8</v>
      </c>
      <c r="E27">
        <v>587</v>
      </c>
      <c r="F27">
        <v>115</v>
      </c>
      <c r="G27" s="2">
        <f t="shared" si="0"/>
        <v>5.1043478260869568</v>
      </c>
      <c r="H27" s="2" t="str">
        <f t="shared" si="1"/>
        <v>yes</v>
      </c>
      <c r="I27">
        <v>587</v>
      </c>
    </row>
    <row r="28" spans="1:9" x14ac:dyDescent="0.2">
      <c r="A28" t="s">
        <v>50</v>
      </c>
      <c r="B28" t="s">
        <v>16</v>
      </c>
      <c r="C28" s="1" t="s">
        <v>19</v>
      </c>
      <c r="D28">
        <v>4</v>
      </c>
      <c r="E28">
        <v>150</v>
      </c>
      <c r="F28">
        <v>22.5</v>
      </c>
      <c r="G28" s="2">
        <f t="shared" si="0"/>
        <v>6.666666666666667</v>
      </c>
      <c r="H28" s="2" t="str">
        <f t="shared" si="1"/>
        <v>no</v>
      </c>
      <c r="I28">
        <v>200</v>
      </c>
    </row>
    <row r="29" spans="1:9" x14ac:dyDescent="0.2">
      <c r="A29" t="s">
        <v>45</v>
      </c>
      <c r="B29" t="s">
        <v>16</v>
      </c>
      <c r="C29" s="1" t="s">
        <v>19</v>
      </c>
      <c r="D29">
        <v>4</v>
      </c>
      <c r="E29">
        <v>150</v>
      </c>
      <c r="F29">
        <v>22.5</v>
      </c>
      <c r="G29" s="2">
        <f t="shared" si="0"/>
        <v>6.666666666666667</v>
      </c>
      <c r="H29" s="2" t="str">
        <f t="shared" si="1"/>
        <v>no</v>
      </c>
      <c r="I29">
        <v>200</v>
      </c>
    </row>
    <row r="30" spans="1:9" x14ac:dyDescent="0.2">
      <c r="A30" t="s">
        <v>46</v>
      </c>
      <c r="B30" t="s">
        <v>16</v>
      </c>
      <c r="C30" s="1" t="s">
        <v>19</v>
      </c>
      <c r="D30">
        <v>4</v>
      </c>
      <c r="E30">
        <v>150</v>
      </c>
      <c r="F30">
        <v>22.5</v>
      </c>
      <c r="G30" s="2">
        <f t="shared" si="0"/>
        <v>6.666666666666667</v>
      </c>
      <c r="H30" s="2" t="str">
        <f t="shared" si="1"/>
        <v>no</v>
      </c>
      <c r="I30">
        <v>200</v>
      </c>
    </row>
    <row r="31" spans="1:9" x14ac:dyDescent="0.2">
      <c r="A31" t="s">
        <v>47</v>
      </c>
      <c r="B31" t="s">
        <v>16</v>
      </c>
      <c r="C31" s="1" t="s">
        <v>19</v>
      </c>
      <c r="D31">
        <v>4</v>
      </c>
      <c r="E31">
        <v>150</v>
      </c>
      <c r="F31">
        <v>22.5</v>
      </c>
      <c r="G31" s="2">
        <f t="shared" si="0"/>
        <v>6.666666666666667</v>
      </c>
      <c r="H31" s="2" t="str">
        <f t="shared" si="1"/>
        <v>no</v>
      </c>
      <c r="I31">
        <v>200</v>
      </c>
    </row>
    <row r="32" spans="1:9" x14ac:dyDescent="0.2">
      <c r="A32" t="s">
        <v>48</v>
      </c>
      <c r="B32" t="s">
        <v>16</v>
      </c>
      <c r="C32" s="1" t="s">
        <v>19</v>
      </c>
      <c r="D32">
        <v>4</v>
      </c>
      <c r="E32">
        <v>150</v>
      </c>
      <c r="F32">
        <v>22.5</v>
      </c>
      <c r="G32" s="2">
        <f t="shared" si="0"/>
        <v>6.666666666666667</v>
      </c>
      <c r="H32" s="2" t="str">
        <f t="shared" si="1"/>
        <v>no</v>
      </c>
      <c r="I32">
        <v>200</v>
      </c>
    </row>
    <row r="33" spans="1:9" x14ac:dyDescent="0.2">
      <c r="A33" t="s">
        <v>49</v>
      </c>
      <c r="B33" t="s">
        <v>16</v>
      </c>
      <c r="C33" s="1" t="s">
        <v>19</v>
      </c>
      <c r="D33">
        <v>4</v>
      </c>
      <c r="E33">
        <v>150</v>
      </c>
      <c r="F33">
        <v>22.5</v>
      </c>
      <c r="G33" s="2">
        <f t="shared" si="0"/>
        <v>6.666666666666667</v>
      </c>
      <c r="H33" s="2" t="str">
        <f t="shared" si="1"/>
        <v>no</v>
      </c>
      <c r="I33">
        <v>200</v>
      </c>
    </row>
    <row r="36" spans="1:9" x14ac:dyDescent="0.2">
      <c r="A36" s="1"/>
    </row>
    <row r="37" spans="1:9" x14ac:dyDescent="0.2">
      <c r="A37" s="1"/>
    </row>
    <row r="38" spans="1:9" x14ac:dyDescent="0.2">
      <c r="A38" s="1"/>
    </row>
    <row r="39" spans="1:9" x14ac:dyDescent="0.2">
      <c r="A39" s="1"/>
    </row>
    <row r="40" spans="1:9" x14ac:dyDescent="0.2">
      <c r="A40" s="1"/>
    </row>
    <row r="41" spans="1:9" x14ac:dyDescent="0.2">
      <c r="A41" s="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Michelangelo Inzerilli</dc:creator>
  <cp:lastModifiedBy>Michelangelo Inzerilli</cp:lastModifiedBy>
  <dcterms:created xsi:type="dcterms:W3CDTF">2026-03-20T10:46:25Z</dcterms:created>
  <dcterms:modified xsi:type="dcterms:W3CDTF">2026-03-25T21:42:09Z</dcterms:modified>
</cp:coreProperties>
</file>