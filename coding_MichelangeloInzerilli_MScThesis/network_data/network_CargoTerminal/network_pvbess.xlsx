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michelangeloinze/Desktop/Master_Thesis/coding_MichelangeloInzerilli_MScThesis/network_data/network_CargoTerminal/"/>
    </mc:Choice>
  </mc:AlternateContent>
  <xr:revisionPtr revIDLastSave="0" documentId="13_ncr:1_{6210A02C-127B-1746-86EF-59BD3F2245FD}" xr6:coauthVersionLast="47" xr6:coauthVersionMax="47" xr10:uidLastSave="{00000000-0000-0000-0000-000000000000}"/>
  <bookViews>
    <workbookView xWindow="0" yWindow="600" windowWidth="19200" windowHeight="21000" activeTab="1" xr2:uid="{00000000-000D-0000-FFFF-FFFF00000000}"/>
  </bookViews>
  <sheets>
    <sheet name="bus_list" sheetId="3" r:id="rId1"/>
    <sheet name="line_list" sheetId="2" r:id="rId2"/>
    <sheet name="switch_list" sheetId="5" r:id="rId3"/>
    <sheet name="trafo_list" sheetId="1" r:id="rId4"/>
    <sheet name="load_lis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3" l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25" i="3"/>
</calcChain>
</file>

<file path=xl/sharedStrings.xml><?xml version="1.0" encoding="utf-8"?>
<sst xmlns="http://schemas.openxmlformats.org/spreadsheetml/2006/main" count="331" uniqueCount="164">
  <si>
    <t>name</t>
  </si>
  <si>
    <t>type</t>
  </si>
  <si>
    <t>None</t>
  </si>
  <si>
    <t>r_ohm_per_km</t>
  </si>
  <si>
    <t>x_ohm_per_km</t>
  </si>
  <si>
    <t>c_nf_per_km</t>
  </si>
  <si>
    <t>max_i_ka</t>
  </si>
  <si>
    <t>parallel</t>
  </si>
  <si>
    <t>bus</t>
  </si>
  <si>
    <t>et</t>
  </si>
  <si>
    <t>z_ohm</t>
  </si>
  <si>
    <t>in_ka</t>
  </si>
  <si>
    <t>l</t>
  </si>
  <si>
    <t>NaN</t>
  </si>
  <si>
    <t>vk_percent</t>
  </si>
  <si>
    <t>vkr_percent</t>
  </si>
  <si>
    <t>pfe_kw</t>
  </si>
  <si>
    <t>i0_percent</t>
  </si>
  <si>
    <t>OGP</t>
  </si>
  <si>
    <t>TBD</t>
  </si>
  <si>
    <t>URA</t>
  </si>
  <si>
    <t>SVN</t>
  </si>
  <si>
    <t>LAX</t>
  </si>
  <si>
    <t>KBV</t>
  </si>
  <si>
    <t>NSG</t>
  </si>
  <si>
    <t>KRVA</t>
  </si>
  <si>
    <t>BVH</t>
  </si>
  <si>
    <t>SPL</t>
  </si>
  <si>
    <t>OLJ</t>
  </si>
  <si>
    <t>HDM</t>
  </si>
  <si>
    <t>KAP</t>
  </si>
  <si>
    <t>HUK</t>
  </si>
  <si>
    <t>LAN</t>
  </si>
  <si>
    <t>MAN</t>
  </si>
  <si>
    <t>KSO</t>
  </si>
  <si>
    <t>KOL</t>
  </si>
  <si>
    <t xml:space="preserve"> JUN1</t>
  </si>
  <si>
    <t xml:space="preserve"> JUN2</t>
  </si>
  <si>
    <t xml:space="preserve"> JUN3</t>
  </si>
  <si>
    <t xml:space="preserve"> JUN4</t>
  </si>
  <si>
    <t xml:space="preserve"> JUN5</t>
  </si>
  <si>
    <t xml:space="preserve"> JUN6</t>
  </si>
  <si>
    <t xml:space="preserve"> JUN7</t>
  </si>
  <si>
    <t xml:space="preserve"> JUN8</t>
  </si>
  <si>
    <t xml:space="preserve"> JUN9</t>
  </si>
  <si>
    <t xml:space="preserve"> JUN10</t>
  </si>
  <si>
    <t xml:space="preserve"> JUN11</t>
  </si>
  <si>
    <t>p_mw</t>
  </si>
  <si>
    <t>q_mvar</t>
  </si>
  <si>
    <t>Bus 5 Load</t>
  </si>
  <si>
    <t>Bus 7 Load</t>
  </si>
  <si>
    <t>Bus 9 Load</t>
  </si>
  <si>
    <t>Load LAX SMHR</t>
  </si>
  <si>
    <t>Bus 20 Load</t>
  </si>
  <si>
    <t>Bus 24 Load</t>
  </si>
  <si>
    <t>Bus 26 Load</t>
  </si>
  <si>
    <t>Load BVH SMHR</t>
  </si>
  <si>
    <t>Bus 37 Load</t>
  </si>
  <si>
    <t>Load OLJ SMHR</t>
  </si>
  <si>
    <t>Bus 41 Load</t>
  </si>
  <si>
    <t>Bus 45 Load</t>
  </si>
  <si>
    <t>Bus 47 Load</t>
  </si>
  <si>
    <t>Bus 49 Load</t>
  </si>
  <si>
    <t>Bus 52 Load</t>
  </si>
  <si>
    <t>Bus 54 Load</t>
  </si>
  <si>
    <t>Load JUN SMHR</t>
  </si>
  <si>
    <t>Voltage_kV</t>
  </si>
  <si>
    <t>Name</t>
  </si>
  <si>
    <t>From</t>
  </si>
  <si>
    <t>To</t>
  </si>
  <si>
    <t>Diameter</t>
  </si>
  <si>
    <t>Length_kms</t>
  </si>
  <si>
    <t>app_p</t>
  </si>
  <si>
    <t>hv_vol</t>
  </si>
  <si>
    <t>lv_vol</t>
  </si>
  <si>
    <t>Bus_2</t>
  </si>
  <si>
    <t>Bus_3</t>
  </si>
  <si>
    <t>Bus_4</t>
  </si>
  <si>
    <t>Bus_5</t>
  </si>
  <si>
    <t>Bus_6</t>
  </si>
  <si>
    <t>Bus_7</t>
  </si>
  <si>
    <t>Bus_8</t>
  </si>
  <si>
    <t>Bus_9</t>
  </si>
  <si>
    <t>Bus_13</t>
  </si>
  <si>
    <t>Bus_14</t>
  </si>
  <si>
    <t>Bus_19</t>
  </si>
  <si>
    <t>Bus_20</t>
  </si>
  <si>
    <t>Bus_23</t>
  </si>
  <si>
    <t>Bus_24</t>
  </si>
  <si>
    <t>Bus_25</t>
  </si>
  <si>
    <t>Bus_26</t>
  </si>
  <si>
    <t>Bus_28</t>
  </si>
  <si>
    <t>Bus_29</t>
  </si>
  <si>
    <t>Bus_30</t>
  </si>
  <si>
    <t>Bus_33</t>
  </si>
  <si>
    <t>Bus_34</t>
  </si>
  <si>
    <t>Bus_36</t>
  </si>
  <si>
    <t>Bus_37</t>
  </si>
  <si>
    <t>Bus_38</t>
  </si>
  <si>
    <t>Bus_39</t>
  </si>
  <si>
    <t>Bus_40</t>
  </si>
  <si>
    <t>Bus_41</t>
  </si>
  <si>
    <t>Bus_44</t>
  </si>
  <si>
    <t>Bus_45</t>
  </si>
  <si>
    <t>Bus_46</t>
  </si>
  <si>
    <t>Bus_47</t>
  </si>
  <si>
    <t>Bus_48</t>
  </si>
  <si>
    <t>Bus_49</t>
  </si>
  <si>
    <t>Bus_50</t>
  </si>
  <si>
    <t>Bus_51</t>
  </si>
  <si>
    <t>Bus_52</t>
  </si>
  <si>
    <t>Bus_53</t>
  </si>
  <si>
    <t>Bus_54</t>
  </si>
  <si>
    <t>Bus_57</t>
  </si>
  <si>
    <t>Bus_58</t>
  </si>
  <si>
    <t>EG</t>
  </si>
  <si>
    <t>Node</t>
  </si>
  <si>
    <t>Bus 3 Load</t>
  </si>
  <si>
    <t>Line_1</t>
  </si>
  <si>
    <t>Line_2</t>
  </si>
  <si>
    <t>Line_3</t>
  </si>
  <si>
    <t>Line_7</t>
  </si>
  <si>
    <t>Line_19</t>
  </si>
  <si>
    <t>Line_11</t>
  </si>
  <si>
    <t>Line_12</t>
  </si>
  <si>
    <t>Line_14</t>
  </si>
  <si>
    <t>Line_15</t>
  </si>
  <si>
    <t>Line_17</t>
  </si>
  <si>
    <t>Line_18</t>
  </si>
  <si>
    <t>Line</t>
  </si>
  <si>
    <t>state</t>
  </si>
  <si>
    <t>EXT</t>
  </si>
  <si>
    <t>Bus_0</t>
  </si>
  <si>
    <t>Line_0</t>
  </si>
  <si>
    <t>Line_4</t>
  </si>
  <si>
    <t>Line_5</t>
  </si>
  <si>
    <t>Line_8</t>
  </si>
  <si>
    <t>Line_6</t>
  </si>
  <si>
    <t>Line_20</t>
  </si>
  <si>
    <t>LIH load</t>
  </si>
  <si>
    <t>LIH2 load</t>
  </si>
  <si>
    <t>Line_21</t>
  </si>
  <si>
    <t>LIH</t>
  </si>
  <si>
    <t>LIH2</t>
  </si>
  <si>
    <t>LIH2_lv</t>
  </si>
  <si>
    <t>LIH_lv</t>
  </si>
  <si>
    <t>Bus 56 Load</t>
  </si>
  <si>
    <t>Bus_56</t>
  </si>
  <si>
    <t>LIH_mv</t>
  </si>
  <si>
    <t>LIH2_mv</t>
  </si>
  <si>
    <t>LIH OPS load</t>
  </si>
  <si>
    <t>Bus_55</t>
  </si>
  <si>
    <t>Bus_35</t>
  </si>
  <si>
    <t>Load KLU old cargoT</t>
  </si>
  <si>
    <t>KLU new cargoT MV</t>
  </si>
  <si>
    <t>KLU new cargoT LV</t>
  </si>
  <si>
    <t>KLU_old</t>
  </si>
  <si>
    <t>KLU_new</t>
  </si>
  <si>
    <t>Line_9</t>
  </si>
  <si>
    <t>Line_10</t>
  </si>
  <si>
    <t>Line_13</t>
  </si>
  <si>
    <t>Line_16</t>
  </si>
  <si>
    <t>Line_22</t>
  </si>
  <si>
    <t>Line_23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</si>
</sst>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" fontId="1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E05B-0827-443E-B8E1-B7E6F785D870}">
  <dimension ref="A1:C50"/>
  <sheetViews>
    <sheetView topLeftCell="A7" zoomScale="114" workbookViewId="0">
      <selection activeCell="A25" sqref="A25:A50"/>
    </sheetView>
  </sheetViews>
  <sheetFormatPr baseColWidth="10" defaultColWidth="8.83203125" defaultRowHeight="15" x14ac:dyDescent="0.2"/>
  <cols>
    <col min="3" max="3" width="12.83203125" customWidth="1"/>
  </cols>
  <sheetData>
    <row r="1" spans="1:3" x14ac:dyDescent="0.2">
      <c r="B1" s="1" t="s">
        <v>67</v>
      </c>
      <c r="C1" s="1" t="s">
        <v>66</v>
      </c>
    </row>
    <row r="2" spans="1:3" x14ac:dyDescent="0.2">
      <c r="A2">
        <v>0</v>
      </c>
      <c r="B2" s="2" t="s">
        <v>115</v>
      </c>
      <c r="C2" s="2">
        <v>50</v>
      </c>
    </row>
    <row r="3" spans="1:3" x14ac:dyDescent="0.2">
      <c r="A3">
        <v>1</v>
      </c>
      <c r="B3" s="2" t="s">
        <v>132</v>
      </c>
      <c r="C3" s="2">
        <v>10</v>
      </c>
    </row>
    <row r="4" spans="1:3" x14ac:dyDescent="0.2">
      <c r="A4">
        <v>2</v>
      </c>
      <c r="B4" s="2" t="s">
        <v>75</v>
      </c>
      <c r="C4" s="2">
        <v>10</v>
      </c>
    </row>
    <row r="5" spans="1:3" x14ac:dyDescent="0.2">
      <c r="A5">
        <v>3</v>
      </c>
      <c r="B5" s="2" t="s">
        <v>76</v>
      </c>
      <c r="C5" s="2">
        <v>0.4</v>
      </c>
    </row>
    <row r="6" spans="1:3" x14ac:dyDescent="0.2">
      <c r="A6">
        <v>4</v>
      </c>
      <c r="B6" s="2" t="s">
        <v>77</v>
      </c>
      <c r="C6" s="2">
        <v>10</v>
      </c>
    </row>
    <row r="7" spans="1:3" x14ac:dyDescent="0.2">
      <c r="A7">
        <v>5</v>
      </c>
      <c r="B7" s="2" t="s">
        <v>78</v>
      </c>
      <c r="C7" s="2">
        <v>0.4</v>
      </c>
    </row>
    <row r="8" spans="1:3" x14ac:dyDescent="0.2">
      <c r="A8">
        <v>6</v>
      </c>
      <c r="B8" s="2" t="s">
        <v>79</v>
      </c>
      <c r="C8" s="2">
        <v>10</v>
      </c>
    </row>
    <row r="9" spans="1:3" x14ac:dyDescent="0.2">
      <c r="A9">
        <v>7</v>
      </c>
      <c r="B9" s="2" t="s">
        <v>80</v>
      </c>
      <c r="C9" s="2">
        <v>0.4</v>
      </c>
    </row>
    <row r="10" spans="1:3" x14ac:dyDescent="0.2">
      <c r="A10">
        <v>8</v>
      </c>
      <c r="B10" s="2" t="s">
        <v>81</v>
      </c>
      <c r="C10" s="2">
        <v>10</v>
      </c>
    </row>
    <row r="11" spans="1:3" x14ac:dyDescent="0.2">
      <c r="A11">
        <v>9</v>
      </c>
      <c r="B11" s="2" t="s">
        <v>82</v>
      </c>
      <c r="C11" s="2">
        <v>0.4</v>
      </c>
    </row>
    <row r="12" spans="1:3" x14ac:dyDescent="0.2">
      <c r="A12">
        <v>10</v>
      </c>
      <c r="B12" s="2" t="s">
        <v>83</v>
      </c>
      <c r="C12" s="2">
        <v>10</v>
      </c>
    </row>
    <row r="13" spans="1:3" x14ac:dyDescent="0.2">
      <c r="A13">
        <v>11</v>
      </c>
      <c r="B13" s="2" t="s">
        <v>84</v>
      </c>
      <c r="C13" s="2">
        <v>0.4</v>
      </c>
    </row>
    <row r="14" spans="1:3" x14ac:dyDescent="0.2">
      <c r="A14">
        <v>12</v>
      </c>
      <c r="B14" s="2" t="s">
        <v>85</v>
      </c>
      <c r="C14" s="2">
        <v>10</v>
      </c>
    </row>
    <row r="15" spans="1:3" x14ac:dyDescent="0.2">
      <c r="A15">
        <v>13</v>
      </c>
      <c r="B15" s="2" t="s">
        <v>86</v>
      </c>
      <c r="C15" s="2">
        <v>0.4</v>
      </c>
    </row>
    <row r="16" spans="1:3" x14ac:dyDescent="0.2">
      <c r="A16">
        <v>14</v>
      </c>
      <c r="B16" s="2" t="s">
        <v>87</v>
      </c>
      <c r="C16" s="2">
        <v>10</v>
      </c>
    </row>
    <row r="17" spans="1:3" x14ac:dyDescent="0.2">
      <c r="A17">
        <v>15</v>
      </c>
      <c r="B17" s="2" t="s">
        <v>88</v>
      </c>
      <c r="C17" s="2">
        <v>0.4</v>
      </c>
    </row>
    <row r="18" spans="1:3" x14ac:dyDescent="0.2">
      <c r="A18">
        <v>16</v>
      </c>
      <c r="B18" s="2" t="s">
        <v>89</v>
      </c>
      <c r="C18" s="2">
        <v>10</v>
      </c>
    </row>
    <row r="19" spans="1:3" x14ac:dyDescent="0.2">
      <c r="A19">
        <v>17</v>
      </c>
      <c r="B19" s="2" t="s">
        <v>90</v>
      </c>
      <c r="C19" s="2">
        <v>0.4</v>
      </c>
    </row>
    <row r="20" spans="1:3" x14ac:dyDescent="0.2">
      <c r="A20">
        <v>18</v>
      </c>
      <c r="B20" s="2" t="s">
        <v>91</v>
      </c>
      <c r="C20" s="2">
        <v>10</v>
      </c>
    </row>
    <row r="21" spans="1:3" x14ac:dyDescent="0.2">
      <c r="A21">
        <v>19</v>
      </c>
      <c r="B21" s="2" t="s">
        <v>92</v>
      </c>
      <c r="C21" s="2">
        <v>0.4</v>
      </c>
    </row>
    <row r="22" spans="1:3" x14ac:dyDescent="0.2">
      <c r="A22">
        <v>20</v>
      </c>
      <c r="B22" s="2" t="s">
        <v>93</v>
      </c>
      <c r="C22" s="2">
        <v>10</v>
      </c>
    </row>
    <row r="23" spans="1:3" x14ac:dyDescent="0.2">
      <c r="A23">
        <v>21</v>
      </c>
      <c r="B23" s="2" t="s">
        <v>94</v>
      </c>
      <c r="C23" s="2">
        <v>10</v>
      </c>
    </row>
    <row r="24" spans="1:3" x14ac:dyDescent="0.2">
      <c r="A24">
        <v>22</v>
      </c>
      <c r="B24" s="2" t="s">
        <v>95</v>
      </c>
      <c r="C24" s="2">
        <v>0.4</v>
      </c>
    </row>
    <row r="25" spans="1:3" x14ac:dyDescent="0.2">
      <c r="A25">
        <f>A24+1</f>
        <v>23</v>
      </c>
      <c r="B25" s="2" t="s">
        <v>152</v>
      </c>
      <c r="C25" s="2">
        <v>0.4</v>
      </c>
    </row>
    <row r="26" spans="1:3" x14ac:dyDescent="0.2">
      <c r="A26">
        <f t="shared" ref="A26:A50" si="0">A25+1</f>
        <v>24</v>
      </c>
      <c r="B26" s="2" t="s">
        <v>96</v>
      </c>
      <c r="C26" s="2">
        <v>10</v>
      </c>
    </row>
    <row r="27" spans="1:3" x14ac:dyDescent="0.2">
      <c r="A27">
        <f t="shared" si="0"/>
        <v>25</v>
      </c>
      <c r="B27" s="2" t="s">
        <v>97</v>
      </c>
      <c r="C27" s="2">
        <v>0.4</v>
      </c>
    </row>
    <row r="28" spans="1:3" x14ac:dyDescent="0.2">
      <c r="A28">
        <f t="shared" si="0"/>
        <v>26</v>
      </c>
      <c r="B28" s="2" t="s">
        <v>98</v>
      </c>
      <c r="C28" s="2">
        <v>10</v>
      </c>
    </row>
    <row r="29" spans="1:3" x14ac:dyDescent="0.2">
      <c r="A29">
        <f t="shared" si="0"/>
        <v>27</v>
      </c>
      <c r="B29" s="2" t="s">
        <v>99</v>
      </c>
      <c r="C29" s="2">
        <v>0.4</v>
      </c>
    </row>
    <row r="30" spans="1:3" x14ac:dyDescent="0.2">
      <c r="A30">
        <f t="shared" si="0"/>
        <v>28</v>
      </c>
      <c r="B30" s="2" t="s">
        <v>100</v>
      </c>
      <c r="C30" s="2">
        <v>10</v>
      </c>
    </row>
    <row r="31" spans="1:3" x14ac:dyDescent="0.2">
      <c r="A31">
        <f t="shared" si="0"/>
        <v>29</v>
      </c>
      <c r="B31" s="2" t="s">
        <v>101</v>
      </c>
      <c r="C31" s="2">
        <v>0.4</v>
      </c>
    </row>
    <row r="32" spans="1:3" x14ac:dyDescent="0.2">
      <c r="A32">
        <f t="shared" si="0"/>
        <v>30</v>
      </c>
      <c r="B32" s="2" t="s">
        <v>102</v>
      </c>
      <c r="C32" s="2">
        <v>10</v>
      </c>
    </row>
    <row r="33" spans="1:3" x14ac:dyDescent="0.2">
      <c r="A33">
        <f t="shared" si="0"/>
        <v>31</v>
      </c>
      <c r="B33" s="2" t="s">
        <v>103</v>
      </c>
      <c r="C33" s="2">
        <v>0.4</v>
      </c>
    </row>
    <row r="34" spans="1:3" x14ac:dyDescent="0.2">
      <c r="A34">
        <f t="shared" si="0"/>
        <v>32</v>
      </c>
      <c r="B34" s="2" t="s">
        <v>104</v>
      </c>
      <c r="C34" s="2">
        <v>10</v>
      </c>
    </row>
    <row r="35" spans="1:3" x14ac:dyDescent="0.2">
      <c r="A35">
        <f t="shared" si="0"/>
        <v>33</v>
      </c>
      <c r="B35" s="2" t="s">
        <v>105</v>
      </c>
      <c r="C35" s="2">
        <v>0.4</v>
      </c>
    </row>
    <row r="36" spans="1:3" x14ac:dyDescent="0.2">
      <c r="A36">
        <f t="shared" si="0"/>
        <v>34</v>
      </c>
      <c r="B36" s="2" t="s">
        <v>106</v>
      </c>
      <c r="C36" s="2">
        <v>10</v>
      </c>
    </row>
    <row r="37" spans="1:3" x14ac:dyDescent="0.2">
      <c r="A37">
        <f t="shared" si="0"/>
        <v>35</v>
      </c>
      <c r="B37" s="2" t="s">
        <v>107</v>
      </c>
      <c r="C37" s="2">
        <v>0.4</v>
      </c>
    </row>
    <row r="38" spans="1:3" x14ac:dyDescent="0.2">
      <c r="A38">
        <f t="shared" si="0"/>
        <v>36</v>
      </c>
      <c r="B38" s="2" t="s">
        <v>108</v>
      </c>
      <c r="C38" s="2">
        <v>10</v>
      </c>
    </row>
    <row r="39" spans="1:3" x14ac:dyDescent="0.2">
      <c r="A39">
        <f t="shared" si="0"/>
        <v>37</v>
      </c>
      <c r="B39" s="2" t="s">
        <v>109</v>
      </c>
      <c r="C39" s="2">
        <v>10</v>
      </c>
    </row>
    <row r="40" spans="1:3" x14ac:dyDescent="0.2">
      <c r="A40">
        <f t="shared" si="0"/>
        <v>38</v>
      </c>
      <c r="B40" s="2" t="s">
        <v>110</v>
      </c>
      <c r="C40" s="2">
        <v>0.4</v>
      </c>
    </row>
    <row r="41" spans="1:3" x14ac:dyDescent="0.2">
      <c r="A41">
        <f t="shared" si="0"/>
        <v>39</v>
      </c>
      <c r="B41" s="2" t="s">
        <v>111</v>
      </c>
      <c r="C41" s="2">
        <v>10</v>
      </c>
    </row>
    <row r="42" spans="1:3" x14ac:dyDescent="0.2">
      <c r="A42">
        <f t="shared" si="0"/>
        <v>40</v>
      </c>
      <c r="B42" s="2" t="s">
        <v>112</v>
      </c>
      <c r="C42" s="2">
        <v>0.4</v>
      </c>
    </row>
    <row r="43" spans="1:3" x14ac:dyDescent="0.2">
      <c r="A43">
        <f t="shared" si="0"/>
        <v>41</v>
      </c>
      <c r="B43" s="2" t="s">
        <v>151</v>
      </c>
      <c r="C43" s="2">
        <v>10</v>
      </c>
    </row>
    <row r="44" spans="1:3" x14ac:dyDescent="0.2">
      <c r="A44">
        <f t="shared" si="0"/>
        <v>42</v>
      </c>
      <c r="B44" s="2" t="s">
        <v>147</v>
      </c>
      <c r="C44" s="2">
        <v>0.4</v>
      </c>
    </row>
    <row r="45" spans="1:3" x14ac:dyDescent="0.2">
      <c r="A45">
        <f t="shared" si="0"/>
        <v>43</v>
      </c>
      <c r="B45" s="2" t="s">
        <v>113</v>
      </c>
      <c r="C45" s="2">
        <v>10</v>
      </c>
    </row>
    <row r="46" spans="1:3" x14ac:dyDescent="0.2">
      <c r="A46">
        <f t="shared" si="0"/>
        <v>44</v>
      </c>
      <c r="B46" s="2" t="s">
        <v>114</v>
      </c>
      <c r="C46" s="2">
        <v>0.4</v>
      </c>
    </row>
    <row r="47" spans="1:3" x14ac:dyDescent="0.2">
      <c r="A47">
        <f t="shared" si="0"/>
        <v>45</v>
      </c>
      <c r="B47" s="4" t="s">
        <v>148</v>
      </c>
      <c r="C47" s="4">
        <v>10</v>
      </c>
    </row>
    <row r="48" spans="1:3" x14ac:dyDescent="0.2">
      <c r="A48">
        <f t="shared" si="0"/>
        <v>46</v>
      </c>
      <c r="B48" s="4" t="s">
        <v>145</v>
      </c>
      <c r="C48" s="4">
        <v>0.4</v>
      </c>
    </row>
    <row r="49" spans="1:3" x14ac:dyDescent="0.2">
      <c r="A49">
        <f t="shared" si="0"/>
        <v>47</v>
      </c>
      <c r="B49" s="4" t="s">
        <v>149</v>
      </c>
      <c r="C49" s="4">
        <v>10</v>
      </c>
    </row>
    <row r="50" spans="1:3" x14ac:dyDescent="0.2">
      <c r="A50">
        <f t="shared" si="0"/>
        <v>48</v>
      </c>
      <c r="B50" s="4" t="s">
        <v>144</v>
      </c>
      <c r="C50" s="4">
        <v>0.4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E789-226B-4A45-A2BC-338A8E5BE2BB}">
  <dimension ref="A1:J25"/>
  <sheetViews>
    <sheetView tabSelected="1" zoomScale="118" workbookViewId="0">
      <selection sqref="A1:A1048576"/>
    </sheetView>
  </sheetViews>
  <sheetFormatPr baseColWidth="10" defaultColWidth="8.83203125" defaultRowHeight="15" x14ac:dyDescent="0.2"/>
  <cols>
    <col min="4" max="4" width="11.83203125" customWidth="1"/>
    <col min="5" max="5" width="13" customWidth="1"/>
    <col min="6" max="6" width="13.5" customWidth="1"/>
    <col min="7" max="7" width="12.5" customWidth="1"/>
    <col min="8" max="8" width="11.5" customWidth="1"/>
  </cols>
  <sheetData>
    <row r="1" spans="1:10" x14ac:dyDescent="0.2">
      <c r="A1" s="1" t="s">
        <v>67</v>
      </c>
      <c r="B1" s="1" t="s">
        <v>68</v>
      </c>
      <c r="C1" s="1" t="s">
        <v>69</v>
      </c>
      <c r="D1" s="1" t="s">
        <v>71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70</v>
      </c>
    </row>
    <row r="2" spans="1:10" x14ac:dyDescent="0.2">
      <c r="A2" s="2" t="s">
        <v>133</v>
      </c>
      <c r="B2" s="2" t="s">
        <v>132</v>
      </c>
      <c r="C2" s="2" t="s">
        <v>75</v>
      </c>
      <c r="D2" s="2">
        <v>0.375</v>
      </c>
      <c r="E2" s="2">
        <v>0.21</v>
      </c>
      <c r="F2" s="2">
        <v>0.09</v>
      </c>
      <c r="G2" s="2">
        <v>0.35</v>
      </c>
      <c r="H2" s="2">
        <v>0.26500000000000001</v>
      </c>
      <c r="I2" s="2">
        <v>1</v>
      </c>
      <c r="J2" s="2">
        <v>0.28499999999999998</v>
      </c>
    </row>
    <row r="3" spans="1:10" x14ac:dyDescent="0.2">
      <c r="A3" s="2" t="s">
        <v>118</v>
      </c>
      <c r="B3" s="2" t="s">
        <v>75</v>
      </c>
      <c r="C3" s="2" t="s">
        <v>77</v>
      </c>
      <c r="D3" s="2">
        <v>8.1000000000000003E-2</v>
      </c>
      <c r="E3" s="2">
        <v>0.21</v>
      </c>
      <c r="F3" s="2">
        <v>0.09</v>
      </c>
      <c r="G3" s="2">
        <v>0.35</v>
      </c>
      <c r="H3" s="2">
        <v>0.26500000000000001</v>
      </c>
      <c r="I3" s="2">
        <v>1</v>
      </c>
      <c r="J3" s="2">
        <v>0.28499999999999998</v>
      </c>
    </row>
    <row r="4" spans="1:10" x14ac:dyDescent="0.2">
      <c r="A4" s="2" t="s">
        <v>119</v>
      </c>
      <c r="B4" s="2" t="s">
        <v>77</v>
      </c>
      <c r="C4" s="2" t="s">
        <v>79</v>
      </c>
      <c r="D4" s="2">
        <v>0.33400000000000002</v>
      </c>
      <c r="E4" s="2">
        <v>0.21</v>
      </c>
      <c r="F4" s="2">
        <v>0.09</v>
      </c>
      <c r="G4" s="2">
        <v>0.35</v>
      </c>
      <c r="H4" s="2">
        <v>0.26500000000000001</v>
      </c>
      <c r="I4" s="2">
        <v>1</v>
      </c>
      <c r="J4" s="2">
        <v>0.45</v>
      </c>
    </row>
    <row r="5" spans="1:10" x14ac:dyDescent="0.2">
      <c r="A5" s="2" t="s">
        <v>120</v>
      </c>
      <c r="B5" s="2" t="s">
        <v>79</v>
      </c>
      <c r="C5" s="2" t="s">
        <v>81</v>
      </c>
      <c r="D5" s="2">
        <v>0.66</v>
      </c>
      <c r="E5" s="2">
        <v>0.21</v>
      </c>
      <c r="F5" s="2">
        <v>0.09</v>
      </c>
      <c r="G5" s="2">
        <v>0.35</v>
      </c>
      <c r="H5" s="2">
        <v>0.26500000000000001</v>
      </c>
      <c r="I5" s="2">
        <v>1</v>
      </c>
      <c r="J5" s="2">
        <v>0.45</v>
      </c>
    </row>
    <row r="6" spans="1:10" x14ac:dyDescent="0.2">
      <c r="A6" s="2" t="s">
        <v>134</v>
      </c>
      <c r="B6" s="2" t="s">
        <v>81</v>
      </c>
      <c r="C6" s="2" t="s">
        <v>83</v>
      </c>
      <c r="D6" s="2">
        <v>1.0109999999999999</v>
      </c>
      <c r="E6" s="2">
        <v>0.21</v>
      </c>
      <c r="F6" s="2">
        <v>0.09</v>
      </c>
      <c r="G6" s="2">
        <v>0.35</v>
      </c>
      <c r="H6" s="2">
        <v>0.26500000000000001</v>
      </c>
      <c r="I6" s="2">
        <v>1</v>
      </c>
      <c r="J6" s="2">
        <v>0.45</v>
      </c>
    </row>
    <row r="7" spans="1:10" x14ac:dyDescent="0.2">
      <c r="A7" s="2" t="s">
        <v>135</v>
      </c>
      <c r="B7" s="2" t="s">
        <v>83</v>
      </c>
      <c r="C7" s="2" t="s">
        <v>85</v>
      </c>
      <c r="D7" s="2">
        <v>0.39300000000000002</v>
      </c>
      <c r="E7" s="2">
        <v>0.21</v>
      </c>
      <c r="F7" s="2">
        <v>0.09</v>
      </c>
      <c r="G7" s="2">
        <v>0.35</v>
      </c>
      <c r="H7" s="2">
        <v>0.26500000000000001</v>
      </c>
      <c r="I7" s="2">
        <v>1</v>
      </c>
      <c r="J7" s="2">
        <v>0.28499999999999998</v>
      </c>
    </row>
    <row r="8" spans="1:10" x14ac:dyDescent="0.2">
      <c r="A8" s="2" t="s">
        <v>137</v>
      </c>
      <c r="B8" s="2" t="s">
        <v>85</v>
      </c>
      <c r="C8" s="2" t="s">
        <v>87</v>
      </c>
      <c r="D8" s="2">
        <v>0.41199999999999998</v>
      </c>
      <c r="E8" s="2">
        <v>0.21</v>
      </c>
      <c r="F8" s="2">
        <v>0.09</v>
      </c>
      <c r="G8" s="2">
        <v>0.35</v>
      </c>
      <c r="H8" s="2">
        <v>0.26500000000000001</v>
      </c>
      <c r="I8" s="2">
        <v>1</v>
      </c>
      <c r="J8" s="2">
        <v>0.45</v>
      </c>
    </row>
    <row r="9" spans="1:10" x14ac:dyDescent="0.2">
      <c r="A9" s="2" t="s">
        <v>121</v>
      </c>
      <c r="B9" s="2" t="s">
        <v>87</v>
      </c>
      <c r="C9" s="2" t="s">
        <v>89</v>
      </c>
      <c r="D9" s="2">
        <v>0.14299999999999999</v>
      </c>
      <c r="E9" s="2">
        <v>0.21</v>
      </c>
      <c r="F9" s="2">
        <v>0.09</v>
      </c>
      <c r="G9" s="2">
        <v>0.35</v>
      </c>
      <c r="H9" s="2">
        <v>0.26500000000000001</v>
      </c>
      <c r="I9" s="2">
        <v>1</v>
      </c>
      <c r="J9" s="2">
        <v>0.72</v>
      </c>
    </row>
    <row r="10" spans="1:10" x14ac:dyDescent="0.2">
      <c r="A10" s="2" t="s">
        <v>136</v>
      </c>
      <c r="B10" s="2" t="s">
        <v>87</v>
      </c>
      <c r="C10" s="2" t="s">
        <v>113</v>
      </c>
      <c r="D10" s="2">
        <v>0.497</v>
      </c>
      <c r="E10" s="2">
        <v>0.21</v>
      </c>
      <c r="F10" s="2">
        <v>0.09</v>
      </c>
      <c r="G10" s="2">
        <v>0.35</v>
      </c>
      <c r="H10" s="2">
        <v>0.26500000000000001</v>
      </c>
      <c r="I10" s="2">
        <v>1</v>
      </c>
      <c r="J10" s="2">
        <v>0.72</v>
      </c>
    </row>
    <row r="11" spans="1:10" x14ac:dyDescent="0.2">
      <c r="A11" s="2" t="s">
        <v>158</v>
      </c>
      <c r="B11" s="2" t="s">
        <v>85</v>
      </c>
      <c r="C11" s="2" t="s">
        <v>91</v>
      </c>
      <c r="D11" s="2">
        <v>0.29699999999999999</v>
      </c>
      <c r="E11" s="2">
        <v>0.21</v>
      </c>
      <c r="F11" s="2">
        <v>0.09</v>
      </c>
      <c r="G11" s="2">
        <v>0.35</v>
      </c>
      <c r="H11" s="2">
        <v>0.26500000000000001</v>
      </c>
      <c r="I11" s="2">
        <v>1</v>
      </c>
      <c r="J11" s="2">
        <v>0.45</v>
      </c>
    </row>
    <row r="12" spans="1:10" x14ac:dyDescent="0.2">
      <c r="A12" s="2" t="s">
        <v>159</v>
      </c>
      <c r="B12" s="2" t="s">
        <v>91</v>
      </c>
      <c r="C12" s="2" t="s">
        <v>93</v>
      </c>
      <c r="D12" s="2">
        <v>0.28799999999999998</v>
      </c>
      <c r="E12" s="2">
        <v>0.21</v>
      </c>
      <c r="F12" s="2">
        <v>0.09</v>
      </c>
      <c r="G12" s="2">
        <v>0.35</v>
      </c>
      <c r="H12" s="2">
        <v>0.26500000000000001</v>
      </c>
      <c r="I12" s="2">
        <v>1</v>
      </c>
      <c r="J12" s="2">
        <v>0.45</v>
      </c>
    </row>
    <row r="13" spans="1:10" x14ac:dyDescent="0.2">
      <c r="A13" s="2" t="s">
        <v>123</v>
      </c>
      <c r="B13" s="2" t="s">
        <v>93</v>
      </c>
      <c r="C13" s="2" t="s">
        <v>94</v>
      </c>
      <c r="D13" s="2">
        <v>0.185</v>
      </c>
      <c r="E13" s="2">
        <v>0.21</v>
      </c>
      <c r="F13" s="2">
        <v>0.09</v>
      </c>
      <c r="G13" s="2">
        <v>0.35</v>
      </c>
      <c r="H13" s="2">
        <v>0.26500000000000001</v>
      </c>
      <c r="I13" s="2">
        <v>1</v>
      </c>
      <c r="J13" s="2">
        <v>0.45</v>
      </c>
    </row>
    <row r="14" spans="1:10" x14ac:dyDescent="0.2">
      <c r="A14" s="2" t="s">
        <v>124</v>
      </c>
      <c r="B14" s="2" t="s">
        <v>94</v>
      </c>
      <c r="C14" s="2" t="s">
        <v>96</v>
      </c>
      <c r="D14" s="2">
        <v>0.55800000000000005</v>
      </c>
      <c r="E14" s="2">
        <v>0.21</v>
      </c>
      <c r="F14" s="2">
        <v>0.09</v>
      </c>
      <c r="G14" s="2">
        <v>0.35</v>
      </c>
      <c r="H14" s="2">
        <v>0.26500000000000001</v>
      </c>
      <c r="I14" s="2">
        <v>1</v>
      </c>
      <c r="J14" s="2">
        <v>0.28499999999999998</v>
      </c>
    </row>
    <row r="15" spans="1:10" x14ac:dyDescent="0.2">
      <c r="A15" s="2" t="s">
        <v>160</v>
      </c>
      <c r="B15" s="2" t="s">
        <v>96</v>
      </c>
      <c r="C15" s="2" t="s">
        <v>98</v>
      </c>
      <c r="D15" s="2">
        <v>0.315</v>
      </c>
      <c r="E15" s="2">
        <v>0.21</v>
      </c>
      <c r="F15" s="2">
        <v>0.09</v>
      </c>
      <c r="G15" s="2">
        <v>0.35</v>
      </c>
      <c r="H15" s="2">
        <v>0.26500000000000001</v>
      </c>
      <c r="I15" s="2">
        <v>1</v>
      </c>
      <c r="J15" s="2">
        <v>0.28499999999999998</v>
      </c>
    </row>
    <row r="16" spans="1:10" x14ac:dyDescent="0.2">
      <c r="A16" s="2" t="s">
        <v>125</v>
      </c>
      <c r="B16" s="2" t="s">
        <v>98</v>
      </c>
      <c r="C16" s="2" t="s">
        <v>100</v>
      </c>
      <c r="D16" s="2">
        <v>0.441</v>
      </c>
      <c r="E16" s="2">
        <v>0.21</v>
      </c>
      <c r="F16" s="2">
        <v>0.09</v>
      </c>
      <c r="G16" s="2">
        <v>0.35</v>
      </c>
      <c r="H16" s="2">
        <v>0.26500000000000001</v>
      </c>
      <c r="I16" s="2">
        <v>1</v>
      </c>
      <c r="J16" s="2">
        <v>0.45</v>
      </c>
    </row>
    <row r="17" spans="1:10" x14ac:dyDescent="0.2">
      <c r="A17" s="2" t="s">
        <v>126</v>
      </c>
      <c r="B17" s="2" t="s">
        <v>98</v>
      </c>
      <c r="C17" s="2" t="s">
        <v>102</v>
      </c>
      <c r="D17" s="2">
        <v>0.60499999999999998</v>
      </c>
      <c r="E17" s="2">
        <v>0.21</v>
      </c>
      <c r="F17" s="2">
        <v>0.09</v>
      </c>
      <c r="G17" s="2">
        <v>0.35</v>
      </c>
      <c r="H17" s="2">
        <v>0.26500000000000001</v>
      </c>
      <c r="I17" s="2">
        <v>1</v>
      </c>
      <c r="J17" s="2">
        <v>0.45</v>
      </c>
    </row>
    <row r="18" spans="1:10" x14ac:dyDescent="0.2">
      <c r="A18" s="2" t="s">
        <v>161</v>
      </c>
      <c r="B18" s="2" t="s">
        <v>102</v>
      </c>
      <c r="C18" s="2" t="s">
        <v>104</v>
      </c>
      <c r="D18" s="2">
        <v>0.72899999999999998</v>
      </c>
      <c r="E18" s="2">
        <v>0.21</v>
      </c>
      <c r="F18" s="2">
        <v>0.09</v>
      </c>
      <c r="G18" s="2">
        <v>0.35</v>
      </c>
      <c r="H18" s="2">
        <v>0.26500000000000001</v>
      </c>
      <c r="I18" s="2">
        <v>1</v>
      </c>
      <c r="J18" s="2">
        <v>0.28499999999999998</v>
      </c>
    </row>
    <row r="19" spans="1:10" x14ac:dyDescent="0.2">
      <c r="A19" s="2" t="s">
        <v>127</v>
      </c>
      <c r="B19" s="2" t="s">
        <v>104</v>
      </c>
      <c r="C19" s="2" t="s">
        <v>106</v>
      </c>
      <c r="D19" s="2">
        <v>0.41699999999999998</v>
      </c>
      <c r="E19" s="2">
        <v>0.21</v>
      </c>
      <c r="F19" s="2">
        <v>0.09</v>
      </c>
      <c r="G19" s="2">
        <v>0.35</v>
      </c>
      <c r="H19" s="2">
        <v>0.26500000000000001</v>
      </c>
      <c r="I19" s="2">
        <v>1</v>
      </c>
      <c r="J19" s="2">
        <v>0.45</v>
      </c>
    </row>
    <row r="20" spans="1:10" x14ac:dyDescent="0.2">
      <c r="A20" s="2" t="s">
        <v>128</v>
      </c>
      <c r="B20" s="2" t="s">
        <v>106</v>
      </c>
      <c r="C20" s="2" t="s">
        <v>108</v>
      </c>
      <c r="D20" s="2">
        <v>0.47299999999999998</v>
      </c>
      <c r="E20" s="2">
        <v>0.21</v>
      </c>
      <c r="F20" s="2">
        <v>0.09</v>
      </c>
      <c r="G20" s="2">
        <v>0.35</v>
      </c>
      <c r="H20" s="2">
        <v>0.26500000000000001</v>
      </c>
      <c r="I20" s="2">
        <v>1</v>
      </c>
      <c r="J20" s="2">
        <v>0.28499999999999998</v>
      </c>
    </row>
    <row r="21" spans="1:10" x14ac:dyDescent="0.2">
      <c r="A21" s="2" t="s">
        <v>122</v>
      </c>
      <c r="B21" s="2" t="s">
        <v>108</v>
      </c>
      <c r="C21" s="2" t="s">
        <v>109</v>
      </c>
      <c r="D21" s="2">
        <v>0.17299999999999999</v>
      </c>
      <c r="E21" s="2">
        <v>0.21</v>
      </c>
      <c r="F21" s="2">
        <v>0.09</v>
      </c>
      <c r="G21" s="2">
        <v>0.35</v>
      </c>
      <c r="H21" s="2">
        <v>0.26500000000000001</v>
      </c>
      <c r="I21" s="2">
        <v>1</v>
      </c>
      <c r="J21" s="2">
        <v>0.45</v>
      </c>
    </row>
    <row r="22" spans="1:10" x14ac:dyDescent="0.2">
      <c r="A22" s="2" t="s">
        <v>138</v>
      </c>
      <c r="B22" s="2" t="s">
        <v>102</v>
      </c>
      <c r="C22" s="2" t="s">
        <v>111</v>
      </c>
      <c r="D22" s="2">
        <v>0.39800000000000002</v>
      </c>
      <c r="E22" s="2">
        <v>0.21</v>
      </c>
      <c r="F22" s="2">
        <v>0.09</v>
      </c>
      <c r="G22" s="2">
        <v>0.35</v>
      </c>
      <c r="H22" s="2">
        <v>0.26500000000000001</v>
      </c>
      <c r="I22" s="2">
        <v>1</v>
      </c>
      <c r="J22" s="2">
        <v>0.28499999999999998</v>
      </c>
    </row>
    <row r="23" spans="1:10" x14ac:dyDescent="0.2">
      <c r="A23" s="2" t="s">
        <v>141</v>
      </c>
      <c r="B23" s="2" t="s">
        <v>111</v>
      </c>
      <c r="C23" s="2" t="s">
        <v>151</v>
      </c>
      <c r="D23" s="2">
        <v>0.36599999999999999</v>
      </c>
      <c r="E23" s="2">
        <v>0.21</v>
      </c>
      <c r="F23" s="2">
        <v>0.09</v>
      </c>
      <c r="G23" s="2">
        <v>0.35</v>
      </c>
      <c r="H23" s="2">
        <v>0.26500000000000001</v>
      </c>
      <c r="I23" s="2">
        <v>1</v>
      </c>
      <c r="J23" s="2">
        <v>0.45</v>
      </c>
    </row>
    <row r="24" spans="1:10" x14ac:dyDescent="0.2">
      <c r="A24" s="4" t="s">
        <v>162</v>
      </c>
      <c r="B24" s="4" t="s">
        <v>151</v>
      </c>
      <c r="C24" s="4" t="s">
        <v>148</v>
      </c>
      <c r="D24" s="4">
        <v>0.18</v>
      </c>
      <c r="E24" s="2">
        <v>0.21</v>
      </c>
      <c r="F24" s="2">
        <v>0.09</v>
      </c>
      <c r="G24" s="2">
        <v>0.35</v>
      </c>
      <c r="H24" s="2">
        <v>0.26500000000000001</v>
      </c>
      <c r="I24" s="2">
        <v>1</v>
      </c>
      <c r="J24" s="2">
        <v>0.45</v>
      </c>
    </row>
    <row r="25" spans="1:10" x14ac:dyDescent="0.2">
      <c r="A25" s="4" t="s">
        <v>163</v>
      </c>
      <c r="B25" s="4" t="s">
        <v>148</v>
      </c>
      <c r="C25" s="4" t="s">
        <v>149</v>
      </c>
      <c r="D25" s="4">
        <v>0.48199999999999998</v>
      </c>
      <c r="E25" s="2">
        <v>0.21</v>
      </c>
      <c r="F25" s="2">
        <v>0.09</v>
      </c>
      <c r="G25" s="2">
        <v>0.35</v>
      </c>
      <c r="H25" s="2">
        <v>0.26500000000000001</v>
      </c>
      <c r="I25" s="2">
        <v>1</v>
      </c>
      <c r="J25" s="2">
        <v>0.45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DEB1-49CB-4DA0-A0CD-08B0DE38173F}">
  <dimension ref="A1:H5"/>
  <sheetViews>
    <sheetView workbookViewId="0">
      <selection activeCell="C10" sqref="C10"/>
    </sheetView>
  </sheetViews>
  <sheetFormatPr baseColWidth="10" defaultColWidth="8.83203125" defaultRowHeight="15" x14ac:dyDescent="0.2"/>
  <sheetData>
    <row r="1" spans="1:8" x14ac:dyDescent="0.2">
      <c r="A1" s="1" t="s">
        <v>8</v>
      </c>
      <c r="B1" s="1" t="s">
        <v>129</v>
      </c>
      <c r="C1" s="1" t="s">
        <v>9</v>
      </c>
      <c r="D1" s="1" t="s">
        <v>1</v>
      </c>
      <c r="E1" s="1" t="s">
        <v>130</v>
      </c>
      <c r="F1" s="1" t="s">
        <v>0</v>
      </c>
      <c r="G1" s="1" t="s">
        <v>10</v>
      </c>
      <c r="H1" s="1" t="s">
        <v>11</v>
      </c>
    </row>
    <row r="2" spans="1:8" x14ac:dyDescent="0.2">
      <c r="A2" s="2" t="s">
        <v>87</v>
      </c>
      <c r="B2" s="2" t="s">
        <v>121</v>
      </c>
      <c r="C2" s="2" t="s">
        <v>12</v>
      </c>
      <c r="D2" s="2" t="s">
        <v>2</v>
      </c>
      <c r="E2" s="2" t="b">
        <v>0</v>
      </c>
      <c r="F2" s="2" t="s">
        <v>2</v>
      </c>
      <c r="G2" s="2">
        <v>0</v>
      </c>
      <c r="H2" s="2" t="s">
        <v>13</v>
      </c>
    </row>
    <row r="3" spans="1:8" x14ac:dyDescent="0.2">
      <c r="A3" s="2" t="s">
        <v>87</v>
      </c>
      <c r="B3" s="2" t="s">
        <v>136</v>
      </c>
      <c r="C3" s="2" t="s">
        <v>12</v>
      </c>
      <c r="D3" s="2" t="s">
        <v>2</v>
      </c>
      <c r="E3" s="2" t="b">
        <v>0</v>
      </c>
      <c r="F3" s="2" t="s">
        <v>2</v>
      </c>
      <c r="G3" s="2">
        <v>0</v>
      </c>
      <c r="H3" s="2" t="s">
        <v>13</v>
      </c>
    </row>
    <row r="4" spans="1:8" x14ac:dyDescent="0.2">
      <c r="A4" s="2" t="s">
        <v>108</v>
      </c>
      <c r="B4" s="2" t="s">
        <v>122</v>
      </c>
      <c r="C4" s="2" t="s">
        <v>12</v>
      </c>
      <c r="D4" s="2" t="s">
        <v>2</v>
      </c>
      <c r="E4" s="2" t="b">
        <v>0</v>
      </c>
      <c r="F4" s="2" t="s">
        <v>2</v>
      </c>
      <c r="G4" s="2">
        <v>0</v>
      </c>
      <c r="H4" s="2" t="s">
        <v>13</v>
      </c>
    </row>
    <row r="5" spans="1:8" x14ac:dyDescent="0.2">
      <c r="A5" s="2" t="s">
        <v>111</v>
      </c>
      <c r="B5" s="2" t="s">
        <v>141</v>
      </c>
      <c r="C5" s="2" t="s">
        <v>12</v>
      </c>
      <c r="D5" s="2" t="s">
        <v>2</v>
      </c>
      <c r="E5" s="2" t="b">
        <v>1</v>
      </c>
      <c r="F5" s="2" t="s">
        <v>2</v>
      </c>
      <c r="G5" s="2">
        <v>0</v>
      </c>
      <c r="H5" s="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zoomScale="112" workbookViewId="0">
      <selection activeCell="D24" sqref="D24:J24"/>
    </sheetView>
  </sheetViews>
  <sheetFormatPr baseColWidth="10" defaultColWidth="8.83203125" defaultRowHeight="15" x14ac:dyDescent="0.2"/>
  <cols>
    <col min="7" max="7" width="11.5" customWidth="1"/>
  </cols>
  <sheetData>
    <row r="1" spans="1:10" ht="30" x14ac:dyDescent="0.2">
      <c r="A1" s="1" t="s">
        <v>67</v>
      </c>
      <c r="B1" s="1" t="s">
        <v>68</v>
      </c>
      <c r="C1" s="1" t="s">
        <v>69</v>
      </c>
      <c r="D1" s="1" t="s">
        <v>72</v>
      </c>
      <c r="E1" s="1" t="s">
        <v>73</v>
      </c>
      <c r="F1" s="1" t="s">
        <v>74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 x14ac:dyDescent="0.2">
      <c r="A2" s="2" t="s">
        <v>131</v>
      </c>
      <c r="B2" s="2" t="s">
        <v>115</v>
      </c>
      <c r="C2" s="2" t="s">
        <v>132</v>
      </c>
      <c r="D2" s="2">
        <v>25</v>
      </c>
      <c r="E2" s="2">
        <v>50</v>
      </c>
      <c r="F2" s="2">
        <v>10</v>
      </c>
      <c r="G2" s="2">
        <v>4</v>
      </c>
      <c r="H2" s="2">
        <v>0.3</v>
      </c>
      <c r="I2" s="2">
        <v>30</v>
      </c>
      <c r="J2" s="2">
        <v>0.1</v>
      </c>
    </row>
    <row r="3" spans="1:10" x14ac:dyDescent="0.2">
      <c r="A3" s="2" t="s">
        <v>18</v>
      </c>
      <c r="B3" s="2" t="s">
        <v>75</v>
      </c>
      <c r="C3" s="2" t="s">
        <v>76</v>
      </c>
      <c r="D3" s="2">
        <v>0.5</v>
      </c>
      <c r="E3" s="2">
        <v>10</v>
      </c>
      <c r="F3" s="2">
        <v>0.4</v>
      </c>
      <c r="G3" s="2">
        <v>12</v>
      </c>
      <c r="H3" s="2">
        <v>0.41</v>
      </c>
      <c r="I3" s="2">
        <v>14</v>
      </c>
      <c r="J3" s="2">
        <v>7.0000000000000007E-2</v>
      </c>
    </row>
    <row r="4" spans="1:10" x14ac:dyDescent="0.2">
      <c r="A4" s="2" t="s">
        <v>19</v>
      </c>
      <c r="B4" s="2" t="s">
        <v>77</v>
      </c>
      <c r="C4" s="2" t="s">
        <v>78</v>
      </c>
      <c r="D4" s="2">
        <v>0.5</v>
      </c>
      <c r="E4" s="2">
        <v>10</v>
      </c>
      <c r="F4" s="2">
        <v>0.4</v>
      </c>
      <c r="G4" s="2">
        <v>12</v>
      </c>
      <c r="H4" s="2">
        <v>0.41</v>
      </c>
      <c r="I4" s="2">
        <v>14</v>
      </c>
      <c r="J4" s="2">
        <v>7.0000000000000007E-2</v>
      </c>
    </row>
    <row r="5" spans="1:10" x14ac:dyDescent="0.2">
      <c r="A5" s="2" t="s">
        <v>20</v>
      </c>
      <c r="B5" s="2" t="s">
        <v>79</v>
      </c>
      <c r="C5" s="2" t="s">
        <v>80</v>
      </c>
      <c r="D5" s="2">
        <v>0.5</v>
      </c>
      <c r="E5" s="2">
        <v>10</v>
      </c>
      <c r="F5" s="2">
        <v>0.4</v>
      </c>
      <c r="G5" s="2">
        <v>12</v>
      </c>
      <c r="H5" s="2">
        <v>0.41</v>
      </c>
      <c r="I5" s="2">
        <v>14</v>
      </c>
      <c r="J5" s="2">
        <v>7.0000000000000007E-2</v>
      </c>
    </row>
    <row r="6" spans="1:10" x14ac:dyDescent="0.2">
      <c r="A6" s="2" t="s">
        <v>21</v>
      </c>
      <c r="B6" s="2" t="s">
        <v>81</v>
      </c>
      <c r="C6" s="2" t="s">
        <v>82</v>
      </c>
      <c r="D6" s="2">
        <v>0.8</v>
      </c>
      <c r="E6" s="2">
        <v>10</v>
      </c>
      <c r="F6" s="2">
        <v>0.4</v>
      </c>
      <c r="G6" s="2">
        <v>12</v>
      </c>
      <c r="H6" s="2">
        <v>0.41</v>
      </c>
      <c r="I6" s="2">
        <v>14</v>
      </c>
      <c r="J6" s="2">
        <v>7.0000000000000007E-2</v>
      </c>
    </row>
    <row r="7" spans="1:10" x14ac:dyDescent="0.2">
      <c r="A7" s="2" t="s">
        <v>22</v>
      </c>
      <c r="B7" s="2" t="s">
        <v>83</v>
      </c>
      <c r="C7" s="2" t="s">
        <v>84</v>
      </c>
      <c r="D7" s="2">
        <v>1.6</v>
      </c>
      <c r="E7" s="2">
        <v>10</v>
      </c>
      <c r="F7" s="2">
        <v>0.4</v>
      </c>
      <c r="G7" s="2">
        <v>12</v>
      </c>
      <c r="H7" s="2">
        <v>0.41</v>
      </c>
      <c r="I7" s="2">
        <v>14</v>
      </c>
      <c r="J7" s="2">
        <v>7.0000000000000007E-2</v>
      </c>
    </row>
    <row r="8" spans="1:10" x14ac:dyDescent="0.2">
      <c r="A8" s="2" t="s">
        <v>23</v>
      </c>
      <c r="B8" s="2" t="s">
        <v>85</v>
      </c>
      <c r="C8" s="2" t="s">
        <v>86</v>
      </c>
      <c r="D8" s="2">
        <v>0.8</v>
      </c>
      <c r="E8" s="2">
        <v>10</v>
      </c>
      <c r="F8" s="2">
        <v>0.4</v>
      </c>
      <c r="G8" s="2">
        <v>12</v>
      </c>
      <c r="H8" s="2">
        <v>0.41</v>
      </c>
      <c r="I8" s="2">
        <v>14</v>
      </c>
      <c r="J8" s="2">
        <v>7.0000000000000007E-2</v>
      </c>
    </row>
    <row r="9" spans="1:10" x14ac:dyDescent="0.2">
      <c r="A9" s="2" t="s">
        <v>24</v>
      </c>
      <c r="B9" s="2" t="s">
        <v>87</v>
      </c>
      <c r="C9" s="2" t="s">
        <v>88</v>
      </c>
      <c r="D9" s="2">
        <v>0.8</v>
      </c>
      <c r="E9" s="2">
        <v>10</v>
      </c>
      <c r="F9" s="2">
        <v>0.4</v>
      </c>
      <c r="G9" s="2">
        <v>12</v>
      </c>
      <c r="H9" s="2">
        <v>0.41</v>
      </c>
      <c r="I9" s="2">
        <v>14</v>
      </c>
      <c r="J9" s="2">
        <v>7.0000000000000007E-2</v>
      </c>
    </row>
    <row r="10" spans="1:10" x14ac:dyDescent="0.2">
      <c r="A10" s="2" t="s">
        <v>25</v>
      </c>
      <c r="B10" s="2" t="s">
        <v>89</v>
      </c>
      <c r="C10" s="2" t="s">
        <v>90</v>
      </c>
      <c r="D10" s="2">
        <v>0.8</v>
      </c>
      <c r="E10" s="2">
        <v>10</v>
      </c>
      <c r="F10" s="2">
        <v>0.4</v>
      </c>
      <c r="G10" s="2">
        <v>12</v>
      </c>
      <c r="H10" s="2">
        <v>0.41</v>
      </c>
      <c r="I10" s="2">
        <v>14</v>
      </c>
      <c r="J10" s="2">
        <v>7.0000000000000007E-2</v>
      </c>
    </row>
    <row r="11" spans="1:10" x14ac:dyDescent="0.2">
      <c r="A11" s="3" t="s">
        <v>36</v>
      </c>
      <c r="B11" s="2" t="s">
        <v>113</v>
      </c>
      <c r="C11" s="2" t="s">
        <v>114</v>
      </c>
      <c r="D11" s="2">
        <v>0.8</v>
      </c>
      <c r="E11" s="2">
        <v>10</v>
      </c>
      <c r="F11" s="2">
        <v>0.4</v>
      </c>
      <c r="G11" s="2">
        <v>12</v>
      </c>
      <c r="H11" s="2">
        <v>0.41</v>
      </c>
      <c r="I11" s="2">
        <v>14</v>
      </c>
      <c r="J11" s="2">
        <v>7.0000000000000007E-2</v>
      </c>
    </row>
    <row r="12" spans="1:10" x14ac:dyDescent="0.2">
      <c r="A12" s="3" t="s">
        <v>37</v>
      </c>
      <c r="B12" s="2" t="s">
        <v>113</v>
      </c>
      <c r="C12" s="2" t="s">
        <v>114</v>
      </c>
      <c r="D12" s="2">
        <v>0.8</v>
      </c>
      <c r="E12" s="2">
        <v>10</v>
      </c>
      <c r="F12" s="2">
        <v>0.4</v>
      </c>
      <c r="G12" s="2">
        <v>12</v>
      </c>
      <c r="H12" s="2">
        <v>0.41</v>
      </c>
      <c r="I12" s="2">
        <v>14</v>
      </c>
      <c r="J12" s="2">
        <v>7.0000000000000007E-2</v>
      </c>
    </row>
    <row r="13" spans="1:10" x14ac:dyDescent="0.2">
      <c r="A13" s="3" t="s">
        <v>38</v>
      </c>
      <c r="B13" s="2" t="s">
        <v>113</v>
      </c>
      <c r="C13" s="2" t="s">
        <v>114</v>
      </c>
      <c r="D13" s="2">
        <v>1</v>
      </c>
      <c r="E13" s="2">
        <v>10</v>
      </c>
      <c r="F13" s="2">
        <v>0.4</v>
      </c>
      <c r="G13" s="2">
        <v>12</v>
      </c>
      <c r="H13" s="2">
        <v>0.41</v>
      </c>
      <c r="I13" s="2">
        <v>14</v>
      </c>
      <c r="J13" s="2">
        <v>7.0000000000000007E-2</v>
      </c>
    </row>
    <row r="14" spans="1:10" x14ac:dyDescent="0.2">
      <c r="A14" s="3" t="s">
        <v>39</v>
      </c>
      <c r="B14" s="2" t="s">
        <v>113</v>
      </c>
      <c r="C14" s="2" t="s">
        <v>114</v>
      </c>
      <c r="D14" s="2">
        <v>0.8</v>
      </c>
      <c r="E14" s="2">
        <v>10</v>
      </c>
      <c r="F14" s="2">
        <v>0.4</v>
      </c>
      <c r="G14" s="2">
        <v>12</v>
      </c>
      <c r="H14" s="2">
        <v>0.41</v>
      </c>
      <c r="I14" s="2">
        <v>14</v>
      </c>
      <c r="J14" s="2">
        <v>7.0000000000000007E-2</v>
      </c>
    </row>
    <row r="15" spans="1:10" x14ac:dyDescent="0.2">
      <c r="A15" s="3" t="s">
        <v>40</v>
      </c>
      <c r="B15" s="2" t="s">
        <v>113</v>
      </c>
      <c r="C15" s="2" t="s">
        <v>114</v>
      </c>
      <c r="D15" s="2">
        <v>1</v>
      </c>
      <c r="E15" s="2">
        <v>10</v>
      </c>
      <c r="F15" s="2">
        <v>0.4</v>
      </c>
      <c r="G15" s="2">
        <v>12</v>
      </c>
      <c r="H15" s="2">
        <v>0.41</v>
      </c>
      <c r="I15" s="2">
        <v>14</v>
      </c>
      <c r="J15" s="2">
        <v>7.0000000000000007E-2</v>
      </c>
    </row>
    <row r="16" spans="1:10" x14ac:dyDescent="0.2">
      <c r="A16" s="3" t="s">
        <v>41</v>
      </c>
      <c r="B16" s="2" t="s">
        <v>113</v>
      </c>
      <c r="C16" s="2" t="s">
        <v>114</v>
      </c>
      <c r="D16" s="2">
        <v>1</v>
      </c>
      <c r="E16" s="2">
        <v>10</v>
      </c>
      <c r="F16" s="2">
        <v>0.4</v>
      </c>
      <c r="G16" s="2">
        <v>12</v>
      </c>
      <c r="H16" s="2">
        <v>0.41</v>
      </c>
      <c r="I16" s="2">
        <v>14</v>
      </c>
      <c r="J16" s="2">
        <v>7.0000000000000007E-2</v>
      </c>
    </row>
    <row r="17" spans="1:10" x14ac:dyDescent="0.2">
      <c r="A17" s="3" t="s">
        <v>42</v>
      </c>
      <c r="B17" s="2" t="s">
        <v>113</v>
      </c>
      <c r="C17" s="2" t="s">
        <v>114</v>
      </c>
      <c r="D17" s="2">
        <v>0.8</v>
      </c>
      <c r="E17" s="2">
        <v>10</v>
      </c>
      <c r="F17" s="2">
        <v>0.4</v>
      </c>
      <c r="G17" s="2">
        <v>12</v>
      </c>
      <c r="H17" s="2">
        <v>0.41</v>
      </c>
      <c r="I17" s="2">
        <v>14</v>
      </c>
      <c r="J17" s="2">
        <v>7.0000000000000007E-2</v>
      </c>
    </row>
    <row r="18" spans="1:10" x14ac:dyDescent="0.2">
      <c r="A18" s="3" t="s">
        <v>43</v>
      </c>
      <c r="B18" s="2" t="s">
        <v>113</v>
      </c>
      <c r="C18" s="2" t="s">
        <v>114</v>
      </c>
      <c r="D18" s="2">
        <v>0.8</v>
      </c>
      <c r="E18" s="2">
        <v>10</v>
      </c>
      <c r="F18" s="2">
        <v>0.4</v>
      </c>
      <c r="G18" s="2">
        <v>12</v>
      </c>
      <c r="H18" s="2">
        <v>0.41</v>
      </c>
      <c r="I18" s="2">
        <v>14</v>
      </c>
      <c r="J18" s="2">
        <v>7.0000000000000007E-2</v>
      </c>
    </row>
    <row r="19" spans="1:10" x14ac:dyDescent="0.2">
      <c r="A19" s="3" t="s">
        <v>44</v>
      </c>
      <c r="B19" s="2" t="s">
        <v>113</v>
      </c>
      <c r="C19" s="2" t="s">
        <v>114</v>
      </c>
      <c r="D19" s="2">
        <v>1</v>
      </c>
      <c r="E19" s="2">
        <v>10</v>
      </c>
      <c r="F19" s="2">
        <v>0.4</v>
      </c>
      <c r="G19" s="2">
        <v>12</v>
      </c>
      <c r="H19" s="2">
        <v>0.41</v>
      </c>
      <c r="I19" s="2">
        <v>14</v>
      </c>
      <c r="J19" s="2">
        <v>7.0000000000000007E-2</v>
      </c>
    </row>
    <row r="20" spans="1:10" x14ac:dyDescent="0.2">
      <c r="A20" s="3" t="s">
        <v>45</v>
      </c>
      <c r="B20" s="2" t="s">
        <v>113</v>
      </c>
      <c r="C20" s="2" t="s">
        <v>114</v>
      </c>
      <c r="D20" s="2">
        <v>1</v>
      </c>
      <c r="E20" s="2">
        <v>10</v>
      </c>
      <c r="F20" s="2">
        <v>0.4</v>
      </c>
      <c r="G20" s="2">
        <v>12</v>
      </c>
      <c r="H20" s="2">
        <v>0.41</v>
      </c>
      <c r="I20" s="2">
        <v>14</v>
      </c>
      <c r="J20" s="2">
        <v>7.0000000000000007E-2</v>
      </c>
    </row>
    <row r="21" spans="1:10" x14ac:dyDescent="0.2">
      <c r="A21" s="3" t="s">
        <v>46</v>
      </c>
      <c r="B21" s="2" t="s">
        <v>113</v>
      </c>
      <c r="C21" s="2" t="s">
        <v>114</v>
      </c>
      <c r="D21" s="2">
        <v>0.5</v>
      </c>
      <c r="E21" s="2">
        <v>10</v>
      </c>
      <c r="F21" s="2">
        <v>0.4</v>
      </c>
      <c r="G21" s="2">
        <v>12</v>
      </c>
      <c r="H21" s="2">
        <v>0.41</v>
      </c>
      <c r="I21" s="2">
        <v>14</v>
      </c>
      <c r="J21" s="2">
        <v>7.0000000000000007E-2</v>
      </c>
    </row>
    <row r="22" spans="1:10" x14ac:dyDescent="0.2">
      <c r="A22" s="2" t="s">
        <v>26</v>
      </c>
      <c r="B22" s="2" t="s">
        <v>91</v>
      </c>
      <c r="C22" s="2" t="s">
        <v>92</v>
      </c>
      <c r="D22" s="2">
        <v>0.8</v>
      </c>
      <c r="E22" s="2">
        <v>10</v>
      </c>
      <c r="F22" s="2">
        <v>0.4</v>
      </c>
      <c r="G22" s="2">
        <v>12</v>
      </c>
      <c r="H22" s="2">
        <v>0.41</v>
      </c>
      <c r="I22" s="2">
        <v>14</v>
      </c>
      <c r="J22" s="2">
        <v>7.0000000000000007E-2</v>
      </c>
    </row>
    <row r="23" spans="1:10" x14ac:dyDescent="0.2">
      <c r="A23" s="2" t="s">
        <v>156</v>
      </c>
      <c r="B23" s="2" t="s">
        <v>94</v>
      </c>
      <c r="C23" s="2" t="s">
        <v>95</v>
      </c>
      <c r="D23" s="2">
        <v>0.8</v>
      </c>
      <c r="E23" s="2">
        <v>10</v>
      </c>
      <c r="F23" s="2">
        <v>0.4</v>
      </c>
      <c r="G23" s="2">
        <v>12</v>
      </c>
      <c r="H23" s="2">
        <v>0.41</v>
      </c>
      <c r="I23" s="2">
        <v>14</v>
      </c>
      <c r="J23" s="2">
        <v>7.0000000000000007E-2</v>
      </c>
    </row>
    <row r="24" spans="1:10" x14ac:dyDescent="0.2">
      <c r="A24" s="2" t="s">
        <v>157</v>
      </c>
      <c r="B24" s="2" t="s">
        <v>94</v>
      </c>
      <c r="C24" s="2" t="s">
        <v>152</v>
      </c>
      <c r="D24" s="2">
        <v>0.8</v>
      </c>
      <c r="E24" s="2">
        <v>10</v>
      </c>
      <c r="F24" s="2">
        <v>0.4</v>
      </c>
      <c r="G24" s="2">
        <v>12</v>
      </c>
      <c r="H24" s="2">
        <v>0.41</v>
      </c>
      <c r="I24" s="2">
        <v>14</v>
      </c>
      <c r="J24" s="2">
        <v>7.0000000000000007E-2</v>
      </c>
    </row>
    <row r="25" spans="1:10" x14ac:dyDescent="0.2">
      <c r="A25" s="2" t="s">
        <v>27</v>
      </c>
      <c r="B25" s="2" t="s">
        <v>96</v>
      </c>
      <c r="C25" s="2" t="s">
        <v>97</v>
      </c>
      <c r="D25" s="2">
        <v>0.8</v>
      </c>
      <c r="E25" s="2">
        <v>10</v>
      </c>
      <c r="F25" s="2">
        <v>0.4</v>
      </c>
      <c r="G25" s="2">
        <v>12</v>
      </c>
      <c r="H25" s="2">
        <v>0.41</v>
      </c>
      <c r="I25" s="2">
        <v>14</v>
      </c>
      <c r="J25" s="2">
        <v>7.0000000000000007E-2</v>
      </c>
    </row>
    <row r="26" spans="1:10" x14ac:dyDescent="0.2">
      <c r="A26" s="2" t="s">
        <v>28</v>
      </c>
      <c r="B26" s="2" t="s">
        <v>98</v>
      </c>
      <c r="C26" s="2" t="s">
        <v>99</v>
      </c>
      <c r="D26" s="2">
        <v>0.8</v>
      </c>
      <c r="E26" s="2">
        <v>10</v>
      </c>
      <c r="F26" s="2">
        <v>0.4</v>
      </c>
      <c r="G26" s="2">
        <v>12</v>
      </c>
      <c r="H26" s="2">
        <v>0.41</v>
      </c>
      <c r="I26" s="2">
        <v>14</v>
      </c>
      <c r="J26" s="2">
        <v>7.0000000000000007E-2</v>
      </c>
    </row>
    <row r="27" spans="1:10" x14ac:dyDescent="0.2">
      <c r="A27" s="2" t="s">
        <v>29</v>
      </c>
      <c r="B27" s="2" t="s">
        <v>100</v>
      </c>
      <c r="C27" s="2" t="s">
        <v>101</v>
      </c>
      <c r="D27" s="2">
        <v>0.8</v>
      </c>
      <c r="E27" s="2">
        <v>10</v>
      </c>
      <c r="F27" s="2">
        <v>0.4</v>
      </c>
      <c r="G27" s="2">
        <v>12</v>
      </c>
      <c r="H27" s="2">
        <v>0.41</v>
      </c>
      <c r="I27" s="2">
        <v>14</v>
      </c>
      <c r="J27" s="2">
        <v>7.0000000000000007E-2</v>
      </c>
    </row>
    <row r="28" spans="1:10" x14ac:dyDescent="0.2">
      <c r="A28" s="2" t="s">
        <v>30</v>
      </c>
      <c r="B28" s="2" t="s">
        <v>102</v>
      </c>
      <c r="C28" s="2" t="s">
        <v>103</v>
      </c>
      <c r="D28" s="2">
        <v>0.8</v>
      </c>
      <c r="E28" s="2">
        <v>10</v>
      </c>
      <c r="F28" s="2">
        <v>0.4</v>
      </c>
      <c r="G28" s="2">
        <v>12</v>
      </c>
      <c r="H28" s="2">
        <v>0.41</v>
      </c>
      <c r="I28" s="2">
        <v>14</v>
      </c>
      <c r="J28" s="2">
        <v>7.0000000000000007E-2</v>
      </c>
    </row>
    <row r="29" spans="1:10" x14ac:dyDescent="0.2">
      <c r="A29" s="2" t="s">
        <v>31</v>
      </c>
      <c r="B29" s="2" t="s">
        <v>104</v>
      </c>
      <c r="C29" s="2" t="s">
        <v>105</v>
      </c>
      <c r="D29" s="2">
        <v>0.8</v>
      </c>
      <c r="E29" s="2">
        <v>10</v>
      </c>
      <c r="F29" s="2">
        <v>0.4</v>
      </c>
      <c r="G29" s="2">
        <v>12</v>
      </c>
      <c r="H29" s="2">
        <v>0.41</v>
      </c>
      <c r="I29" s="2">
        <v>14</v>
      </c>
      <c r="J29" s="2">
        <v>7.0000000000000007E-2</v>
      </c>
    </row>
    <row r="30" spans="1:10" x14ac:dyDescent="0.2">
      <c r="A30" s="2" t="s">
        <v>32</v>
      </c>
      <c r="B30" s="2" t="s">
        <v>106</v>
      </c>
      <c r="C30" s="2" t="s">
        <v>107</v>
      </c>
      <c r="D30" s="2">
        <v>0.8</v>
      </c>
      <c r="E30" s="2">
        <v>10</v>
      </c>
      <c r="F30" s="2">
        <v>0.4</v>
      </c>
      <c r="G30" s="2">
        <v>12</v>
      </c>
      <c r="H30" s="2">
        <v>0.41</v>
      </c>
      <c r="I30" s="2">
        <v>14</v>
      </c>
      <c r="J30" s="2">
        <v>7.0000000000000007E-2</v>
      </c>
    </row>
    <row r="31" spans="1:10" x14ac:dyDescent="0.2">
      <c r="A31" s="2" t="s">
        <v>33</v>
      </c>
      <c r="B31" s="2" t="s">
        <v>109</v>
      </c>
      <c r="C31" s="2" t="s">
        <v>110</v>
      </c>
      <c r="D31" s="2">
        <v>0.5</v>
      </c>
      <c r="E31" s="2">
        <v>10</v>
      </c>
      <c r="F31" s="2">
        <v>0.4</v>
      </c>
      <c r="G31" s="2">
        <v>12</v>
      </c>
      <c r="H31" s="2">
        <v>0.41</v>
      </c>
      <c r="I31" s="2">
        <v>14</v>
      </c>
      <c r="J31" s="2">
        <v>7.0000000000000007E-2</v>
      </c>
    </row>
    <row r="32" spans="1:10" x14ac:dyDescent="0.2">
      <c r="A32" s="2" t="s">
        <v>34</v>
      </c>
      <c r="B32" s="2" t="s">
        <v>111</v>
      </c>
      <c r="C32" s="2" t="s">
        <v>112</v>
      </c>
      <c r="D32" s="2">
        <v>0.8</v>
      </c>
      <c r="E32" s="2">
        <v>10</v>
      </c>
      <c r="F32" s="2">
        <v>0.4</v>
      </c>
      <c r="G32" s="2">
        <v>12</v>
      </c>
      <c r="H32" s="2">
        <v>0.41</v>
      </c>
      <c r="I32" s="2">
        <v>14</v>
      </c>
      <c r="J32" s="2">
        <v>7.0000000000000007E-2</v>
      </c>
    </row>
    <row r="33" spans="1:10" x14ac:dyDescent="0.2">
      <c r="A33" s="2" t="s">
        <v>35</v>
      </c>
      <c r="B33" s="2" t="s">
        <v>151</v>
      </c>
      <c r="C33" s="2" t="s">
        <v>147</v>
      </c>
      <c r="D33" s="2">
        <v>0.8</v>
      </c>
      <c r="E33" s="2">
        <v>10</v>
      </c>
      <c r="F33" s="2">
        <v>0.4</v>
      </c>
      <c r="G33" s="2">
        <v>12</v>
      </c>
      <c r="H33" s="2">
        <v>0.41</v>
      </c>
      <c r="I33" s="2">
        <v>14</v>
      </c>
      <c r="J33" s="2">
        <v>7.0000000000000007E-2</v>
      </c>
    </row>
    <row r="34" spans="1:10" x14ac:dyDescent="0.2">
      <c r="A34" s="2" t="s">
        <v>142</v>
      </c>
      <c r="B34" s="2" t="s">
        <v>148</v>
      </c>
      <c r="C34" s="2" t="s">
        <v>145</v>
      </c>
      <c r="D34" s="2">
        <v>0.8</v>
      </c>
      <c r="E34" s="2">
        <v>10</v>
      </c>
      <c r="F34" s="2">
        <v>0.4</v>
      </c>
      <c r="G34" s="2">
        <v>12</v>
      </c>
      <c r="H34" s="2">
        <v>0.41</v>
      </c>
      <c r="I34" s="2">
        <v>14</v>
      </c>
      <c r="J34" s="2">
        <v>7.0000000000000007E-2</v>
      </c>
    </row>
    <row r="35" spans="1:10" x14ac:dyDescent="0.2">
      <c r="A35" s="4" t="s">
        <v>143</v>
      </c>
      <c r="B35" s="4" t="s">
        <v>149</v>
      </c>
      <c r="C35" s="4" t="s">
        <v>144</v>
      </c>
      <c r="D35" s="2">
        <v>0.8</v>
      </c>
      <c r="E35" s="2">
        <v>10</v>
      </c>
      <c r="F35" s="2">
        <v>0.4</v>
      </c>
      <c r="G35" s="2">
        <v>12</v>
      </c>
      <c r="H35" s="2">
        <v>0.41</v>
      </c>
      <c r="I35" s="2">
        <v>14</v>
      </c>
      <c r="J35" s="2">
        <v>7.0000000000000007E-2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D4C2-F054-48AB-9677-3C7525DBDB2C}">
  <dimension ref="A1:D26"/>
  <sheetViews>
    <sheetView zoomScale="116" workbookViewId="0">
      <selection activeCell="A13" sqref="A13"/>
    </sheetView>
  </sheetViews>
  <sheetFormatPr baseColWidth="10" defaultColWidth="8.83203125" defaultRowHeight="15" x14ac:dyDescent="0.2"/>
  <cols>
    <col min="1" max="1" width="15.6640625" customWidth="1"/>
  </cols>
  <sheetData>
    <row r="1" spans="1:4" x14ac:dyDescent="0.2">
      <c r="A1" s="1" t="s">
        <v>67</v>
      </c>
      <c r="B1" s="1" t="s">
        <v>116</v>
      </c>
      <c r="C1" s="1" t="s">
        <v>47</v>
      </c>
      <c r="D1" s="1" t="s">
        <v>48</v>
      </c>
    </row>
    <row r="2" spans="1:4" x14ac:dyDescent="0.2">
      <c r="A2" s="2" t="s">
        <v>117</v>
      </c>
      <c r="B2" s="2" t="s">
        <v>76</v>
      </c>
      <c r="C2" s="2">
        <v>0</v>
      </c>
      <c r="D2" s="2">
        <v>0</v>
      </c>
    </row>
    <row r="3" spans="1:4" x14ac:dyDescent="0.2">
      <c r="A3" s="2" t="s">
        <v>49</v>
      </c>
      <c r="B3" s="2" t="s">
        <v>78</v>
      </c>
      <c r="C3" s="2">
        <v>0</v>
      </c>
      <c r="D3" s="2">
        <v>0</v>
      </c>
    </row>
    <row r="4" spans="1:4" x14ac:dyDescent="0.2">
      <c r="A4" s="2" t="s">
        <v>50</v>
      </c>
      <c r="B4" s="2" t="s">
        <v>80</v>
      </c>
      <c r="C4" s="2">
        <v>0</v>
      </c>
      <c r="D4" s="2">
        <v>0</v>
      </c>
    </row>
    <row r="5" spans="1:4" x14ac:dyDescent="0.2">
      <c r="A5" s="2" t="s">
        <v>51</v>
      </c>
      <c r="B5" s="2" t="s">
        <v>82</v>
      </c>
      <c r="C5" s="2">
        <v>0</v>
      </c>
      <c r="D5" s="2">
        <v>0</v>
      </c>
    </row>
    <row r="6" spans="1:4" x14ac:dyDescent="0.2">
      <c r="A6" s="2" t="s">
        <v>52</v>
      </c>
      <c r="B6" s="2" t="s">
        <v>84</v>
      </c>
      <c r="C6" s="2">
        <v>0</v>
      </c>
      <c r="D6" s="2">
        <v>0</v>
      </c>
    </row>
    <row r="7" spans="1:4" x14ac:dyDescent="0.2">
      <c r="A7" s="2" t="s">
        <v>53</v>
      </c>
      <c r="B7" s="2" t="s">
        <v>86</v>
      </c>
      <c r="C7" s="2">
        <v>0</v>
      </c>
      <c r="D7" s="2">
        <v>0</v>
      </c>
    </row>
    <row r="8" spans="1:4" x14ac:dyDescent="0.2">
      <c r="A8" s="2" t="s">
        <v>54</v>
      </c>
      <c r="B8" s="2" t="s">
        <v>88</v>
      </c>
      <c r="C8" s="2">
        <v>0</v>
      </c>
      <c r="D8" s="2">
        <v>0</v>
      </c>
    </row>
    <row r="9" spans="1:4" x14ac:dyDescent="0.2">
      <c r="A9" s="2" t="s">
        <v>55</v>
      </c>
      <c r="B9" s="2" t="s">
        <v>90</v>
      </c>
      <c r="C9" s="2">
        <v>0</v>
      </c>
      <c r="D9" s="2">
        <v>0</v>
      </c>
    </row>
    <row r="10" spans="1:4" x14ac:dyDescent="0.2">
      <c r="A10" s="2" t="s">
        <v>56</v>
      </c>
      <c r="B10" s="2" t="s">
        <v>92</v>
      </c>
      <c r="C10" s="2">
        <v>0</v>
      </c>
      <c r="D10" s="2">
        <v>0</v>
      </c>
    </row>
    <row r="11" spans="1:4" x14ac:dyDescent="0.2">
      <c r="A11" s="2" t="s">
        <v>154</v>
      </c>
      <c r="B11" s="2" t="s">
        <v>94</v>
      </c>
      <c r="C11" s="2">
        <v>0</v>
      </c>
      <c r="D11" s="2">
        <v>0</v>
      </c>
    </row>
    <row r="12" spans="1:4" x14ac:dyDescent="0.2">
      <c r="A12" s="2" t="s">
        <v>155</v>
      </c>
      <c r="B12" s="2" t="s">
        <v>152</v>
      </c>
      <c r="C12" s="2">
        <v>0</v>
      </c>
      <c r="D12" s="2">
        <v>0</v>
      </c>
    </row>
    <row r="13" spans="1:4" x14ac:dyDescent="0.2">
      <c r="A13" s="2" t="s">
        <v>153</v>
      </c>
      <c r="B13" s="2" t="s">
        <v>95</v>
      </c>
      <c r="C13" s="2">
        <v>0</v>
      </c>
      <c r="D13" s="2">
        <v>0</v>
      </c>
    </row>
    <row r="14" spans="1:4" x14ac:dyDescent="0.2">
      <c r="A14" s="2" t="s">
        <v>57</v>
      </c>
      <c r="B14" s="2" t="s">
        <v>97</v>
      </c>
      <c r="C14" s="2">
        <v>0</v>
      </c>
      <c r="D14" s="2">
        <v>0</v>
      </c>
    </row>
    <row r="15" spans="1:4" x14ac:dyDescent="0.2">
      <c r="A15" s="2" t="s">
        <v>58</v>
      </c>
      <c r="B15" s="2" t="s">
        <v>98</v>
      </c>
      <c r="C15" s="2">
        <v>0</v>
      </c>
      <c r="D15" s="2">
        <v>0</v>
      </c>
    </row>
    <row r="16" spans="1:4" x14ac:dyDescent="0.2">
      <c r="A16" s="2" t="s">
        <v>59</v>
      </c>
      <c r="B16" s="2" t="s">
        <v>101</v>
      </c>
      <c r="C16" s="2">
        <v>0</v>
      </c>
      <c r="D16" s="2">
        <v>0</v>
      </c>
    </row>
    <row r="17" spans="1:4" x14ac:dyDescent="0.2">
      <c r="A17" s="2" t="s">
        <v>60</v>
      </c>
      <c r="B17" s="2" t="s">
        <v>103</v>
      </c>
      <c r="C17" s="2">
        <v>0</v>
      </c>
      <c r="D17" s="2">
        <v>0</v>
      </c>
    </row>
    <row r="18" spans="1:4" x14ac:dyDescent="0.2">
      <c r="A18" s="2" t="s">
        <v>61</v>
      </c>
      <c r="B18" s="2" t="s">
        <v>105</v>
      </c>
      <c r="C18" s="2">
        <v>0</v>
      </c>
      <c r="D18" s="2">
        <v>0</v>
      </c>
    </row>
    <row r="19" spans="1:4" x14ac:dyDescent="0.2">
      <c r="A19" s="2" t="s">
        <v>62</v>
      </c>
      <c r="B19" s="2" t="s">
        <v>107</v>
      </c>
      <c r="C19" s="2">
        <v>0</v>
      </c>
      <c r="D19" s="2">
        <v>0</v>
      </c>
    </row>
    <row r="20" spans="1:4" x14ac:dyDescent="0.2">
      <c r="A20" s="2" t="s">
        <v>63</v>
      </c>
      <c r="B20" s="2" t="s">
        <v>110</v>
      </c>
      <c r="C20" s="2">
        <v>0</v>
      </c>
      <c r="D20" s="2">
        <v>0</v>
      </c>
    </row>
    <row r="21" spans="1:4" x14ac:dyDescent="0.2">
      <c r="A21" s="2" t="s">
        <v>64</v>
      </c>
      <c r="B21" s="2" t="s">
        <v>112</v>
      </c>
      <c r="C21" s="2">
        <v>0</v>
      </c>
      <c r="D21" s="2">
        <v>0</v>
      </c>
    </row>
    <row r="22" spans="1:4" x14ac:dyDescent="0.2">
      <c r="A22" s="2" t="s">
        <v>146</v>
      </c>
      <c r="B22" s="2" t="s">
        <v>147</v>
      </c>
      <c r="C22" s="2">
        <v>0</v>
      </c>
      <c r="D22" s="2">
        <v>0</v>
      </c>
    </row>
    <row r="23" spans="1:4" x14ac:dyDescent="0.2">
      <c r="A23" s="2" t="s">
        <v>65</v>
      </c>
      <c r="B23" s="2" t="s">
        <v>114</v>
      </c>
      <c r="C23" s="2">
        <v>0</v>
      </c>
      <c r="D23" s="2">
        <v>0</v>
      </c>
    </row>
    <row r="24" spans="1:4" x14ac:dyDescent="0.2">
      <c r="A24" s="4" t="s">
        <v>150</v>
      </c>
      <c r="B24" s="4" t="s">
        <v>148</v>
      </c>
      <c r="C24" s="4">
        <v>0</v>
      </c>
      <c r="D24" s="4">
        <v>0</v>
      </c>
    </row>
    <row r="25" spans="1:4" x14ac:dyDescent="0.2">
      <c r="A25" s="4" t="s">
        <v>139</v>
      </c>
      <c r="B25" s="4" t="s">
        <v>148</v>
      </c>
      <c r="C25" s="4">
        <v>0</v>
      </c>
      <c r="D25" s="4">
        <v>0</v>
      </c>
    </row>
    <row r="26" spans="1:4" x14ac:dyDescent="0.2">
      <c r="A26" s="4" t="s">
        <v>140</v>
      </c>
      <c r="B26" s="4" t="s">
        <v>144</v>
      </c>
      <c r="C26" s="4">
        <v>0</v>
      </c>
      <c r="D26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bus_list</vt:lpstr>
      <vt:lpstr>line_list</vt:lpstr>
      <vt:lpstr>switch_list</vt:lpstr>
      <vt:lpstr>trafo_list</vt:lpstr>
      <vt:lpstr>load_list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Sankar Mangalam</dc:creator>
  <cp:lastModifiedBy>Michelangelo Inzerilli</cp:lastModifiedBy>
  <dcterms:created xsi:type="dcterms:W3CDTF">2015-06-05T18:17:20Z</dcterms:created>
  <dcterms:modified xsi:type="dcterms:W3CDTF">2026-06-17T15:07:25Z</dcterms:modified>
</cp:coreProperties>
</file>